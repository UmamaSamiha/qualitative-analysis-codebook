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heme Definitions" sheetId="2" state="visible" r:id="rId4"/>
    <sheet name="Codebook" sheetId="3" state="visible" r:id="rId5"/>
    <sheet name="Theme Mapping" sheetId="4" state="visible" r:id="rId6"/>
    <sheet name="Theme Frequenc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<sst xmlns="http://schemas.openxmlformats.org/spreadsheetml/2006/main" count="910" uniqueCount="601">
  <si>
    <t xml:space="preserve">Field</t>
  </si>
  <si>
    <t xml:space="preserve">Description</t>
  </si>
  <si>
    <t xml:space="preserve">HCI Research Codebook</t>
  </si>
  <si>
    <t xml:space="preserve">Study Title</t>
  </si>
  <si>
    <t xml:space="preserve">Authorization Constraints on Chinese Digital Platforms and Their Impact on Bangladeshi Business Expansion</t>
  </si>
  <si>
    <t xml:space="preserve">Authors</t>
  </si>
  <si>
    <t xml:space="preserve">Maisha Maliha Nisa, Umama Samiha, Maria Sultana Samiya</t>
  </si>
  <si>
    <t xml:space="preserve">Institution</t>
  </si>
  <si>
    <t xml:space="preserve">Brac University, Dhaka, Bangladesh</t>
  </si>
  <si>
    <t xml:space="preserve">Course</t>
  </si>
  <si>
    <t xml:space="preserve">CSE 472: Human Computer Interactions</t>
  </si>
  <si>
    <t xml:space="preserve">Purpose</t>
  </si>
  <si>
    <t xml:space="preserve">This codebook documents the qualitative coding scheme developed during thematic analysis of 12 semi-structured interviews with Bangladeshi importers, expatriate entrepreneurs, an in-China logistics agent, a sourcing coordinator, and a long-term Bangladeshi resident-academic.</t>
  </si>
  <si>
    <t xml:space="preserve">Methodology</t>
  </si>
  <si>
    <t xml:space="preserve">First-pass open coding was conducted on each interview transcript individually. Codes were then consolidated and grouped under six overarching themes through axial coding. The Technology Acceptance Model (Davis, 1989) guided interpretation, particularly the constructs of perceived usefulness and perceived ease of use.</t>
  </si>
  <si>
    <t xml:space="preserve">Six Themes</t>
  </si>
  <si>
    <t xml:space="preserve">(1) Usability Barriers  (2) Access Restrictions  (3) Communication Challenges  (4) Operational Impacts  (5) Unpleasant Strategies  (6) User Recommendations &amp; Expected Outcomes</t>
  </si>
  <si>
    <t xml:space="preserve">How to Use This Codebook</t>
  </si>
  <si>
    <t xml:space="preserve">Sheet: Theme Definitions</t>
  </si>
  <si>
    <t xml:space="preserve">Definitions, scope, and conceptual boundaries of each of the six themes.</t>
  </si>
  <si>
    <t xml:space="preserve">Sheet: Codebook</t>
  </si>
  <si>
    <t xml:space="preserve">Consolidated master list of codes. Each code has a unique ID, definition, inclusion criteria, theme assignment, and an example quote.</t>
  </si>
  <si>
    <t xml:space="preserve">Sheet: Theme Mapping</t>
  </si>
  <si>
    <t xml:space="preserve">Every coded interview excerpt mapped to its corresponding theme, with participant ID and HCI/UX dimension preserved.</t>
  </si>
  <si>
    <t xml:space="preserve">Sheet: Theme Frequency</t>
  </si>
  <si>
    <t xml:space="preserve">Quantitative summary of how many codes fall under each theme.</t>
  </si>
  <si>
    <t xml:space="preserve">Citation Note</t>
  </si>
  <si>
    <t xml:space="preserve">If you reference this codebook, cite it alongside the parent paper. The codebook itself is provided as supplementary material in Appendix B.</t>
  </si>
  <si>
    <t xml:space="preserve">Theme ID</t>
  </si>
  <si>
    <t xml:space="preserve">Theme Name</t>
  </si>
  <si>
    <t xml:space="preserve">Definition</t>
  </si>
  <si>
    <t xml:space="preserve">Scope / What It Captures</t>
  </si>
  <si>
    <t xml:space="preserve">T1</t>
  </si>
  <si>
    <t xml:space="preserve">Usability Barriers</t>
  </si>
  <si>
    <t xml:space="preserve">Difficulties Bangladeshi users encounter while interacting with the interface, navigation, and learnability of Chinese digital platforms.</t>
  </si>
  <si>
    <t xml:space="preserve">Captures issues with non-localized interfaces, steep learning curves, hidden or undiscoverable features, complex inter-app ecosystems, mismatched mental models, in-app translation inaccuracy, and cognitive load created by the platform's design.</t>
  </si>
  <si>
    <t xml:space="preserve">T2</t>
  </si>
  <si>
    <t xml:space="preserve">Access Restrictions</t>
  </si>
  <si>
    <t xml:space="preserve">Authorization, authentication, and infrastructural rules that limit Bangladeshi users from fully accessing Chinese platforms.</t>
  </si>
  <si>
    <t xml:space="preserve">Captures verification rules (e.g., six-month existing-user requirement), account suspensions on Bangladeshi phone numbers, OTP and login failures, region/SIM-locked features, restrictions on cross-border payments, requirements for Chinese bank accounts, VPN dependency, and bans on familiar non-Chinese apps.</t>
  </si>
  <si>
    <t xml:space="preserve">T3</t>
  </si>
  <si>
    <t xml:space="preserve">Communication Challenges</t>
  </si>
  <si>
    <t xml:space="preserve">Linguistic, cultural, and relational barriers that disrupt how Bangladeshi importers communicate, build trust, and negotiate with Chinese suppliers.</t>
  </si>
  <si>
    <t xml:space="preserve">Captures language barriers, bidirectional translation burdens, supplier expectations of instant replies, trust erosion from delays, suppliers questioning buyer legitimacy, mistranslations breaking deals, and pricing or negotiation disadvantages.</t>
  </si>
  <si>
    <t xml:space="preserve">T4</t>
  </si>
  <si>
    <t xml:space="preserve">Operational Impacts</t>
  </si>
  <si>
    <t xml:space="preserve">Concrete business consequences that result from the above usability, access, and communication barriers.</t>
  </si>
  <si>
    <t xml:space="preserve">Captures shipment delays, lost suppliers, financial loss (storage, taxes), missed market opportunities (e.g., viral products), production scheduling disruptions, single points of failure where account bans halt the business, and delays in launching businesses entirely.</t>
  </si>
  <si>
    <t xml:space="preserve">T5</t>
  </si>
  <si>
    <t xml:space="preserve">Unpleasant Strategies</t>
  </si>
  <si>
    <t xml:space="preserve">Workarounds and informal coping mechanisms Bangladeshi importers rely on because the platforms do not adequately support them.</t>
  </si>
  <si>
    <t xml:space="preserve">Captures hiring local agents, paid Chinese assistants, leaning on diaspora and expat networks, joining sourcing groups, frequent trips to China, hastily learning Mandarin, manual screenshot translation, peer help, mentor dependency, and multi-contact verification searches. The 'unpleasant' label reflects that these solutions impose hidden costs and dependencies.</t>
  </si>
  <si>
    <t xml:space="preserve">T6</t>
  </si>
  <si>
    <t xml:space="preserve">User Recommendations &amp; Expected Outcomes</t>
  </si>
  <si>
    <t xml:space="preserve">Participants' suggestions for design improvements and their imagined outcomes if barriers were resolved.</t>
  </si>
  <si>
    <t xml:space="preserve">Captures requests for English-language support, simplified international onboarding, international banking integration, better translation, pre-travel training, English product descriptions, account suspension transparency, and the expected business outcomes (faster operations, reduced errors, increased market entry, better trust, greater independence) that participants associate with these improvements.</t>
  </si>
  <si>
    <t xml:space="preserve">Code ID</t>
  </si>
  <si>
    <t xml:space="preserve">Code Name</t>
  </si>
  <si>
    <t xml:space="preserve">Theme</t>
  </si>
  <si>
    <t xml:space="preserve">Inclusion Criteria</t>
  </si>
  <si>
    <t xml:space="preserve">Example Quote</t>
  </si>
  <si>
    <t xml:space="preserve">Source Participant(s)</t>
  </si>
  <si>
    <t xml:space="preserve">UB1</t>
  </si>
  <si>
    <t xml:space="preserve">Non-localized interface</t>
  </si>
  <si>
    <t xml:space="preserve">The interface is presented predominantly in Chinese, making basic navigation and feature use difficult for non-Mandarin readers.</t>
  </si>
  <si>
    <t xml:space="preserve">Apply when participant describes confusion or inability to use features because the UI is in Chinese.</t>
  </si>
  <si>
    <t xml:space="preserve">"The interface was mostly in Chinese and I didn't understand how to use it."</t>
  </si>
  <si>
    <t xml:space="preserve">P2, P3</t>
  </si>
  <si>
    <t xml:space="preserve">UB2</t>
  </si>
  <si>
    <t xml:space="preserve">Steep learning curve</t>
  </si>
  <si>
    <t xml:space="preserve">First-time use of the platform is overwhelming and requires extensive practice or external help to operate.</t>
  </si>
  <si>
    <t xml:space="preserve">Apply when participant describes the platform as hard to learn, confusing, or requiring time to master.</t>
  </si>
  <si>
    <t xml:space="preserve">"Using that app for the first time was tough."</t>
  </si>
  <si>
    <t xml:space="preserve">P6, P5, P11</t>
  </si>
  <si>
    <t xml:space="preserve">UB3</t>
  </si>
  <si>
    <t xml:space="preserve">Hidden / non-discoverable features</t>
  </si>
  <si>
    <t xml:space="preserve">Useful features (e.g., translation, settings) exist but are not visible or easily found by foreign users.</t>
  </si>
  <si>
    <t xml:space="preserve">Apply when participant did not initially know a feature existed or could not locate it.</t>
  </si>
  <si>
    <t xml:space="preserve">"Because of Chinese language… I did not know I could translate."</t>
  </si>
  <si>
    <t xml:space="preserve">P1, P3</t>
  </si>
  <si>
    <t xml:space="preserve">UB4</t>
  </si>
  <si>
    <t xml:space="preserve">Notification system unfamiliarity</t>
  </si>
  <si>
    <t xml:space="preserve">Users miss important updates because the platform's notification design differs from familiar apps.</t>
  </si>
  <si>
    <t xml:space="preserve">Apply when participant reports missing time-sensitive messages or alerts due to unfamiliar notification structures.</t>
  </si>
  <si>
    <t xml:space="preserve">"Updates… missed due to unfamiliar notification systems."</t>
  </si>
  <si>
    <t xml:space="preserve">P4, P5</t>
  </si>
  <si>
    <t xml:space="preserve">UB5</t>
  </si>
  <si>
    <t xml:space="preserve">Interconnected app ecosystem complexity</t>
  </si>
  <si>
    <t xml:space="preserve">Multiple Chinese apps are tightly linked, making it unclear which app supports which task.</t>
  </si>
  <si>
    <t xml:space="preserve">Apply when participant expresses confusion about the relationship between apps or about which app to use for which purpose.</t>
  </si>
  <si>
    <t xml:space="preserve">"Multiple apps together, and they are interconnected… not very clear at first."</t>
  </si>
  <si>
    <t xml:space="preserve">P4</t>
  </si>
  <si>
    <t xml:space="preserve">UB6</t>
  </si>
  <si>
    <t xml:space="preserve">Inaccurate in-app translation</t>
  </si>
  <si>
    <t xml:space="preserve">The platform's built-in translation distorts meaning enough to cause confusion or error.</t>
  </si>
  <si>
    <t xml:space="preserve">Apply when in-app translation produces unclear, partial, or wrong output that affects use.</t>
  </si>
  <si>
    <t xml:space="preserve">"App kept showing things in Chinese… translation is not always clear."</t>
  </si>
  <si>
    <t xml:space="preserve">P7, P11, P12</t>
  </si>
  <si>
    <t xml:space="preserve">UB7</t>
  </si>
  <si>
    <t xml:space="preserve">Page-by-page translation burden</t>
  </si>
  <si>
    <t xml:space="preserve">User repeatedly takes screenshots and translates pages externally because the in-app option is insufficient.</t>
  </si>
  <si>
    <t xml:space="preserve">Apply when participant describes manual external translation as a recurring step.</t>
  </si>
  <si>
    <t xml:space="preserve">"Keep taking screenshots and translating every page."</t>
  </si>
  <si>
    <t xml:space="preserve">P8</t>
  </si>
  <si>
    <t xml:space="preserve">UB8</t>
  </si>
  <si>
    <t xml:space="preserve">Mental model mismatch (super-app concept)</t>
  </si>
  <si>
    <t xml:space="preserve">Users underestimate WeChat's role, expecting it to behave like Western messaging apps rather than as comprehensive business infrastructure.</t>
  </si>
  <si>
    <t xml:space="preserve">Apply when participant expresses surprise at the platform's scope or describes misunderstanding what the app is for.</t>
  </si>
  <si>
    <t xml:space="preserve">"WeChat… not just for chatting… business negotiation, payments and logistics coordination."</t>
  </si>
  <si>
    <t xml:space="preserve">P5</t>
  </si>
  <si>
    <t xml:space="preserve">UB9</t>
  </si>
  <si>
    <t xml:space="preserve">Loss of user autonomy</t>
  </si>
  <si>
    <t xml:space="preserve">Difficulty using the platform makes users feel dependent on others rather than able to operate independently.</t>
  </si>
  <si>
    <t xml:space="preserve">Apply when participant expresses a feeling of dependency, helplessness, or lack of confidence with the platform.</t>
  </si>
  <si>
    <t xml:space="preserve">"I felt so dependent on people."</t>
  </si>
  <si>
    <t xml:space="preserve">P2, P11</t>
  </si>
  <si>
    <t xml:space="preserve">UB10</t>
  </si>
  <si>
    <t xml:space="preserve">Search ecosystem separation</t>
  </si>
  <si>
    <t xml:space="preserve">Chinese product information is not findable through familiar global search tools (Google), fragmenting information access.</t>
  </si>
  <si>
    <t xml:space="preserve">Apply when participant reports difficulty locating product or business information through their usual search methods.</t>
  </si>
  <si>
    <t xml:space="preserve">"All Chinese products are also not in Google."</t>
  </si>
  <si>
    <t xml:space="preserve">P3</t>
  </si>
  <si>
    <t xml:space="preserve">AR1</t>
  </si>
  <si>
    <t xml:space="preserve">Existing-user verification (6-month rule)</t>
  </si>
  <si>
    <t xml:space="preserve">WeChat account creation requires endorsement by an existing user with at least six months of active history, locking out newcomers.</t>
  </si>
  <si>
    <t xml:space="preserve">Apply when participant describes the verification rule, the social effort to find a verifier, or being unable to register without one.</t>
  </si>
  <si>
    <t xml:space="preserve">"WeChat… asking for verification through a WeChat user for 6 months."</t>
  </si>
  <si>
    <t xml:space="preserve">P1, P3, P6, P8, P11, P12</t>
  </si>
  <si>
    <t xml:space="preserve">AR2</t>
  </si>
  <si>
    <t xml:space="preserve">Account suspensions / bans</t>
  </si>
  <si>
    <t xml:space="preserve">Accounts are suspended without clear explanation, especially those linked to Bangladeshi numbers.</t>
  </si>
  <si>
    <t xml:space="preserve">Apply when participant describes unexplained account suspension, flagging, or repeated bans.</t>
  </si>
  <si>
    <t xml:space="preserve">"My account was cancelled twice and I don't know why."</t>
  </si>
  <si>
    <t xml:space="preserve">P2, P6, P10</t>
  </si>
  <si>
    <t xml:space="preserve">AR3</t>
  </si>
  <si>
    <t xml:space="preserve">OTP and login failures</t>
  </si>
  <si>
    <t xml:space="preserve">International users face high rates of failed one-time passwords or login attempts, blocking access at critical moments.</t>
  </si>
  <si>
    <t xml:space="preserve">Apply when participant cites OTP or login failure as a barrier to using the platform.</t>
  </si>
  <si>
    <t xml:space="preserve">"The main difficulties are login and OTP issues."</t>
  </si>
  <si>
    <t xml:space="preserve">P9</t>
  </si>
  <si>
    <t xml:space="preserve">AR4</t>
  </si>
  <si>
    <t xml:space="preserve">Region / SIM-locked features</t>
  </si>
  <si>
    <t xml:space="preserve">Features available inside China stop working when the user is outside the country or uses a foreign SIM card.</t>
  </si>
  <si>
    <t xml:space="preserve">Apply when participant reports a feature working in China but failing in Bangladesh, or vice versa.</t>
  </si>
  <si>
    <t xml:space="preserve">"Many features depend on local settings, like region or SIM cards."</t>
  </si>
  <si>
    <t xml:space="preserve">AR5</t>
  </si>
  <si>
    <t xml:space="preserve">Cross-border payment restrictions</t>
  </si>
  <si>
    <t xml:space="preserve">WeChat Pay and Alipay cannot be used for cross-border money transfers, forcing reliance on slower bank methods.</t>
  </si>
  <si>
    <t xml:space="preserve">Apply when participant describes inability to send money via Chinese platforms from outside China.</t>
  </si>
  <si>
    <t xml:space="preserve">"WeChat cannot be used to transfer money directly from outside China."</t>
  </si>
  <si>
    <t xml:space="preserve">P1, P2, P3</t>
  </si>
  <si>
    <t xml:space="preserve">AR6</t>
  </si>
  <si>
    <t xml:space="preserve">Chinese bank account requirement</t>
  </si>
  <si>
    <t xml:space="preserve">Linking financial features (Alipay) requires a Chinese bank account, which foreigners cannot easily obtain.</t>
  </si>
  <si>
    <t xml:space="preserve">Apply when participant describes an inability to set up payment due to lack of a Chinese bank account.</t>
  </si>
  <si>
    <t xml:space="preserve">"Alipay required a Chinese bank connection… not easy for foreign users."</t>
  </si>
  <si>
    <t xml:space="preserve">P6</t>
  </si>
  <si>
    <t xml:space="preserve">AR7</t>
  </si>
  <si>
    <t xml:space="preserve">VPN dependency</t>
  </si>
  <si>
    <t xml:space="preserve">Communication with Bangladesh requires VPN use because global apps are blocked in China; this introduces lag and unreliability.</t>
  </si>
  <si>
    <t xml:space="preserve">Apply when participant cites VPN use as a necessity for cross-border collaboration or other apps.</t>
  </si>
  <si>
    <t xml:space="preserve">"Often needing a VPN for collaboration. Connection gets slow due to VPN uses."</t>
  </si>
  <si>
    <t xml:space="preserve">P10, P12</t>
  </si>
  <si>
    <t xml:space="preserve">AR8</t>
  </si>
  <si>
    <t xml:space="preserve">Blocked familiar apps</t>
  </si>
  <si>
    <t xml:space="preserve">Facebook, WhatsApp, Messenger, and Instagram are inaccessible inside China, cutting users off from their normal channels.</t>
  </si>
  <si>
    <t xml:space="preserve">Apply when participant reports being unable to use their habitual apps after entering China's digital ecosystem.</t>
  </si>
  <si>
    <t xml:space="preserve">"Usual apps like Facebook, Messenger, or Instagram were not working."</t>
  </si>
  <si>
    <t xml:space="preserve">P1, P3, P12</t>
  </si>
  <si>
    <t xml:space="preserve">AR9</t>
  </si>
  <si>
    <t xml:space="preserve">Device-change re-verification difficulty</t>
  </si>
  <si>
    <t xml:space="preserve">Switching to a new device triggers a complex re-verification flow that often requires another existing user's help.</t>
  </si>
  <si>
    <t xml:space="preserve">Apply when participant describes being locked out or struggling after changing or losing their phone.</t>
  </si>
  <si>
    <t xml:space="preserve">"New phone… WeChat… verification by existing user… complicated."</t>
  </si>
  <si>
    <t xml:space="preserve">P2</t>
  </si>
  <si>
    <t xml:space="preserve">AR10</t>
  </si>
  <si>
    <t xml:space="preserve">Platform lock-in</t>
  </si>
  <si>
    <t xml:space="preserve">Suppliers operate exclusively on Chinese platforms, leaving the user no fallback channel.</t>
  </si>
  <si>
    <t xml:space="preserve">Apply when participant reports having no choice but to use WeChat (or similar) because suppliers refuse alternatives.</t>
  </si>
  <si>
    <t xml:space="preserve">"They use only Chinese apps."</t>
  </si>
  <si>
    <t xml:space="preserve">P2, P3, P7</t>
  </si>
  <si>
    <t xml:space="preserve">CC1</t>
  </si>
  <si>
    <t xml:space="preserve">Mandarin language barrier</t>
  </si>
  <si>
    <t xml:space="preserve">Most Chinese suppliers do not speak English, requiring constant translation in communication.</t>
  </si>
  <si>
    <t xml:space="preserve">Apply when participant describes communication difficulty rooted in the supplier's lack of English.</t>
  </si>
  <si>
    <t xml:space="preserve">"Most of them don't know English, so I have to write in English first and then translate it into Chinese for them."</t>
  </si>
  <si>
    <t xml:space="preserve">P1, P3, P8</t>
  </si>
  <si>
    <t xml:space="preserve">CC2</t>
  </si>
  <si>
    <t xml:space="preserve">Bidirectional translation burden</t>
  </si>
  <si>
    <t xml:space="preserve">User must translate their own messages into Chinese AND translate supplier replies back into English, doubling the effort.</t>
  </si>
  <si>
    <t xml:space="preserve">Apply when participant describes both-direction translation work in supplier conversations.</t>
  </si>
  <si>
    <t xml:space="preserve">"Write in English first and then translate it into Chinese for them."</t>
  </si>
  <si>
    <t xml:space="preserve">CC3</t>
  </si>
  <si>
    <t xml:space="preserve">Specification misunderstanding</t>
  </si>
  <si>
    <t xml:space="preserve">Technical product details are mistranslated or misunderstood, leading to wrong specifications being agreed.</t>
  </si>
  <si>
    <t xml:space="preserve">Apply when participant describes errors in product details traceable to translation or communication failure.</t>
  </si>
  <si>
    <t xml:space="preserve">"Small misunderstandings… when technical terms or product specifications are involved."</t>
  </si>
  <si>
    <t xml:space="preserve">P4, P7</t>
  </si>
  <si>
    <t xml:space="preserve">CC4</t>
  </si>
  <si>
    <t xml:space="preserve">Instant-response expectation</t>
  </si>
  <si>
    <t xml:space="preserve">Chinese suppliers expect immediate replies; delays disrupt deals and signal unprofessionalism.</t>
  </si>
  <si>
    <t xml:space="preserve">Apply when participant references the speed of response that suppliers demand.</t>
  </si>
  <si>
    <t xml:space="preserve">"Chinese business policy is based on instant business replies."</t>
  </si>
  <si>
    <t xml:space="preserve">P1</t>
  </si>
  <si>
    <t xml:space="preserve">CC5</t>
  </si>
  <si>
    <t xml:space="preserve">Trust erosion from communication delays</t>
  </si>
  <si>
    <t xml:space="preserve">Late or unclear replies cause suppliers to doubt the buyer's reliability or seriousness.</t>
  </si>
  <si>
    <t xml:space="preserve">Apply when participant attributes lost trust specifically to communication slowness or failure.</t>
  </si>
  <si>
    <t xml:space="preserve">"Slow and inconsistent communication can hinder the trust of suppliers."</t>
  </si>
  <si>
    <t xml:space="preserve">P5, P6, P11</t>
  </si>
  <si>
    <t xml:space="preserve">CC6</t>
  </si>
  <si>
    <t xml:space="preserve">Buyer legitimacy questioned</t>
  </si>
  <si>
    <t xml:space="preserve">Suppliers explicitly doubt the buyer is real after a payment delay or communication breakdown.</t>
  </si>
  <si>
    <t xml:space="preserve">Apply when participant reports being asked or implied to be inauthentic by a supplier.</t>
  </si>
  <si>
    <t xml:space="preserve">"The seller was questioning me… if I am real buyer."</t>
  </si>
  <si>
    <t xml:space="preserve">P1, P2</t>
  </si>
  <si>
    <t xml:space="preserve">CC7</t>
  </si>
  <si>
    <t xml:space="preserve">Late reply interpreted as low commitment</t>
  </si>
  <si>
    <t xml:space="preserve">Delays are read by suppliers as the buyer not being serious, risking contract loss.</t>
  </si>
  <si>
    <t xml:space="preserve">Apply when participant describes consequences of delayed replies on supplier perception.</t>
  </si>
  <si>
    <t xml:space="preserve">"They might think that you're not serious."</t>
  </si>
  <si>
    <t xml:space="preserve">P7</t>
  </si>
  <si>
    <t xml:space="preserve">CC8</t>
  </si>
  <si>
    <t xml:space="preserve">Negotiation / pricing disadvantage</t>
  </si>
  <si>
    <t xml:space="preserve">Limited communication weakens the buyer's ability to negotiate or detect overpricing.</t>
  </si>
  <si>
    <t xml:space="preserve">Apply when participant attributes pricing problems to communication limitations.</t>
  </si>
  <si>
    <t xml:space="preserve">"Sometimes they charge higher prices than expected."</t>
  </si>
  <si>
    <t xml:space="preserve">CC9</t>
  </si>
  <si>
    <t xml:space="preserve">Mistranslation breaking trust</t>
  </si>
  <si>
    <t xml:space="preserve">Inaccurate translations create misunderstandings that escalate into broken supplier relationships.</t>
  </si>
  <si>
    <t xml:space="preserve">Apply when participant connects lost suppliers or relationship damage directly to translation errors.</t>
  </si>
  <si>
    <t xml:space="preserve">"I lost quite a few suppliers in the beginning as I could not communicate properly."</t>
  </si>
  <si>
    <t xml:space="preserve">P8, P11</t>
  </si>
  <si>
    <t xml:space="preserve">OI1</t>
  </si>
  <si>
    <t xml:space="preserve">Shipment delay</t>
  </si>
  <si>
    <t xml:space="preserve">Platform-related delays propagate to actual shipment timelines.</t>
  </si>
  <si>
    <t xml:space="preserve">Apply when participant describes a specific shipment being delayed due to a platform issue.</t>
  </si>
  <si>
    <t xml:space="preserve">"Delayed to confirm… payment and that delayed my shipment by one month."</t>
  </si>
  <si>
    <t xml:space="preserve">P1, P9, P10</t>
  </si>
  <si>
    <t xml:space="preserve">OI2</t>
  </si>
  <si>
    <t xml:space="preserve">Lost suppliers / contracts</t>
  </si>
  <si>
    <t xml:space="preserve">Suppliers stop doing business with the importer because of communication or trust failures.</t>
  </si>
  <si>
    <t xml:space="preserve">Apply when participant reports losing one or more suppliers as an outcome.</t>
  </si>
  <si>
    <t xml:space="preserve">"I lost quite a few suppliers in the beginning."</t>
  </si>
  <si>
    <t xml:space="preserve">P11</t>
  </si>
  <si>
    <t xml:space="preserve">OI3</t>
  </si>
  <si>
    <t xml:space="preserve">Financial loss (storage, taxes, fees)</t>
  </si>
  <si>
    <t xml:space="preserve">Delays cascade into storage charges, tax-related losses, and other secondary costs.</t>
  </si>
  <si>
    <t xml:space="preserve">Apply when participant cites concrete financial loss tied to a platform-induced delay.</t>
  </si>
  <si>
    <t xml:space="preserve">"I had to pay to storage those goods… tax policy changed… huge financial loss."</t>
  </si>
  <si>
    <t xml:space="preserve">OI4</t>
  </si>
  <si>
    <t xml:space="preserve">Missed market opportunities</t>
  </si>
  <si>
    <t xml:space="preserve">Time-sensitive market opportunities (viral products, trend windows) are lost due to access barriers.</t>
  </si>
  <si>
    <t xml:space="preserve">Apply when participant describes missing a window of demand because of a platform issue.</t>
  </si>
  <si>
    <t xml:space="preserve">"Due to login issues, we couldn't contact the seller for about 4 to 5 days. Because of that delay, we missed the trend and lost potential sales."</t>
  </si>
  <si>
    <t xml:space="preserve">OI5</t>
  </si>
  <si>
    <t xml:space="preserve">Single point of failure</t>
  </si>
  <si>
    <t xml:space="preserve">When one Chinese app fails, the entire business communication and operations halt.</t>
  </si>
  <si>
    <t xml:space="preserve">Apply when participant describes total business stoppage tied to a single platform's failure.</t>
  </si>
  <si>
    <t xml:space="preserve">"If there's an issue with WeChat, communication is entirely disrupted."</t>
  </si>
  <si>
    <t xml:space="preserve">P2, P6</t>
  </si>
  <si>
    <t xml:space="preserve">OI6</t>
  </si>
  <si>
    <t xml:space="preserve">Delayed business launch</t>
  </si>
  <si>
    <t xml:space="preserve">Initial access barriers prevent the user from starting their business on time.</t>
  </si>
  <si>
    <t xml:space="preserve">Apply when participant ties a delay in launching their business to platform onboarding difficulties.</t>
  </si>
  <si>
    <t xml:space="preserve">"It delayed the starting of my business."</t>
  </si>
  <si>
    <t xml:space="preserve">OI7</t>
  </si>
  <si>
    <t xml:space="preserve">Production scheduling disruption</t>
  </si>
  <si>
    <t xml:space="preserve">Account flagging or platform outage causes loss of priority in supplier production scheduling.</t>
  </si>
  <si>
    <t xml:space="preserve">Apply when participant describes a manufacturing or production schedule being disrupted.</t>
  </si>
  <si>
    <t xml:space="preserve">"Lost priority in production scheduling."</t>
  </si>
  <si>
    <t xml:space="preserve">OI8</t>
  </si>
  <si>
    <t xml:space="preserve">Time loss before business work begins</t>
  </si>
  <si>
    <t xml:space="preserve">Significant time is consumed setting up access, learning the system, or navigating ecosystem confusion before any actual business activity occurs.</t>
  </si>
  <si>
    <t xml:space="preserve">Apply when participant describes pre-work setup time as a hidden business cost.</t>
  </si>
  <si>
    <t xml:space="preserve">"I could invest more time in business instead of understanding why Google is not working."</t>
  </si>
  <si>
    <t xml:space="preserve">P1, P5</t>
  </si>
  <si>
    <t xml:space="preserve">US1</t>
  </si>
  <si>
    <t xml:space="preserve">Hiring local agents in China</t>
  </si>
  <si>
    <t xml:space="preserve">User pays a local agent in China to confirm deals, bargain, and check goods, adding cost.</t>
  </si>
  <si>
    <t xml:space="preserve">Apply when participant describes paying for an in-China agent as a coping mechanism.</t>
  </si>
  <si>
    <t xml:space="preserve">"I now use a local agent in China by sending them to confirm deals and bargain."</t>
  </si>
  <si>
    <t xml:space="preserve">US2</t>
  </si>
  <si>
    <t xml:space="preserve">Hiring Chinese assistants / translators</t>
  </si>
  <si>
    <t xml:space="preserve">User hires a Chinese-speaking assistant to translate messages and manage transactions.</t>
  </si>
  <si>
    <t xml:space="preserve">Apply when participant describes paying for translation or assistant services.</t>
  </si>
  <si>
    <t xml:space="preserve">"I hired a Chinese assistant there."</t>
  </si>
  <si>
    <t xml:space="preserve">US3</t>
  </si>
  <si>
    <t xml:space="preserve">Reliance on diaspora / expatriate networks</t>
  </si>
  <si>
    <t xml:space="preserve">User leans on Bangladeshi friends or contacts already in China for verification, communication, or guidance.</t>
  </si>
  <si>
    <t xml:space="preserve">Apply when participant describes asking diaspora contacts for help.</t>
  </si>
  <si>
    <t xml:space="preserve">"I had employers, other Bangladeshi who lived here for quite some time so they knew their way round here."</t>
  </si>
  <si>
    <t xml:space="preserve">P9, P11</t>
  </si>
  <si>
    <t xml:space="preserve">US4</t>
  </si>
  <si>
    <t xml:space="preserve">Logistics partners as mediators</t>
  </si>
  <si>
    <t xml:space="preserve">User uses their existing shipping/logistics partners as informal communication and quality-check intermediaries.</t>
  </si>
  <si>
    <t xml:space="preserve">Apply when participant uses their freight or logistics company to handle communication beyond shipping.</t>
  </si>
  <si>
    <t xml:space="preserve">"The company who load my containers to shipment they help me communicate, negotiate and check product quality."</t>
  </si>
  <si>
    <t xml:space="preserve">US5</t>
  </si>
  <si>
    <t xml:space="preserve">Joining sourcing / business groups</t>
  </si>
  <si>
    <t xml:space="preserve">User travels to China with an organized group to access the wholesale market and learn the digital ecosystem.</t>
  </si>
  <si>
    <t xml:space="preserve">Apply when participant describes group-based travel/sourcing as their entry strategy.</t>
  </si>
  <si>
    <t xml:space="preserve">"The first time I went to China I went with a group."</t>
  </si>
  <si>
    <t xml:space="preserve">US6</t>
  </si>
  <si>
    <t xml:space="preserve">Repeated trips to China</t>
  </si>
  <si>
    <t xml:space="preserve">User makes frequent expensive trips to China because remote operation through the platforms is unreliable.</t>
  </si>
  <si>
    <t xml:space="preserve">Apply when participant cites travel as a workaround for platform limitations.</t>
  </si>
  <si>
    <t xml:space="preserve">"And makes easier to use Chinese apps for a person like me… less my frequent business trips which are so expensive."</t>
  </si>
  <si>
    <t xml:space="preserve">US7</t>
  </si>
  <si>
    <t xml:space="preserve">Self-learning Mandarin</t>
  </si>
  <si>
    <t xml:space="preserve">User learns survival-level Mandarin themselves to compensate for translation gaps.</t>
  </si>
  <si>
    <t xml:space="preserve">Apply when participant describes learning Chinese phrases or basic language to navigate the platforms.</t>
  </si>
  <si>
    <t xml:space="preserve">"He taught me some basic Chinese phrases."</t>
  </si>
  <si>
    <t xml:space="preserve">P4, P10, P12</t>
  </si>
  <si>
    <t xml:space="preserve">US8</t>
  </si>
  <si>
    <t xml:space="preserve">Manual screenshot translation</t>
  </si>
  <si>
    <t xml:space="preserve">User screenshots app pages and runs them through external translation tools (e.g., Google Translate).</t>
  </si>
  <si>
    <t xml:space="preserve">Apply when participant describes a screenshot-and-translate workflow.</t>
  </si>
  <si>
    <t xml:space="preserve">"I have to take screenshots and translate them using Google."</t>
  </si>
  <si>
    <t xml:space="preserve">US9</t>
  </si>
  <si>
    <t xml:space="preserve">Backup email for important matters</t>
  </si>
  <si>
    <t xml:space="preserve">User keeps email as a fallback channel for formal or high-stakes communication.</t>
  </si>
  <si>
    <t xml:space="preserve">Apply when participant describes deliberately splitting channels by urgency/formality.</t>
  </si>
  <si>
    <t xml:space="preserve">"WeChat for everything… email… to be on the safe side."</t>
  </si>
  <si>
    <t xml:space="preserve">P6, P7</t>
  </si>
  <si>
    <t xml:space="preserve">US10</t>
  </si>
  <si>
    <t xml:space="preserve">Visual confirmation (images / videos)</t>
  </si>
  <si>
    <t xml:space="preserve">User confirms specifications using images or video instead of relying on text translation.</t>
  </si>
  <si>
    <t xml:space="preserve">Apply when participant describes shifting to visual media to reduce miscommunication.</t>
  </si>
  <si>
    <t xml:space="preserve">"Confirm everything clearly sometimes using images or videos instead of text."</t>
  </si>
  <si>
    <t xml:space="preserve">US11</t>
  </si>
  <si>
    <t xml:space="preserve">Peer support from colleagues</t>
  </si>
  <si>
    <t xml:space="preserve">User asks more experienced colleagues for help navigating the platform.</t>
  </si>
  <si>
    <t xml:space="preserve">Apply when participant describes seeking informal help from peers or coworkers.</t>
  </si>
  <si>
    <t xml:space="preserve">"Seek help from my other colleagues who are basically more experienced than I'm."</t>
  </si>
  <si>
    <t xml:space="preserve">US12</t>
  </si>
  <si>
    <t xml:space="preserve">Mentor / neighbor as guide</t>
  </si>
  <si>
    <t xml:space="preserve">User depends on a personal contact (neighbor, mentor, hotel manager) for ongoing platform guidance.</t>
  </si>
  <si>
    <t xml:space="preserve">Apply when participant cites a single trusted individual as their long-term support.</t>
  </si>
  <si>
    <t xml:space="preserve">"I still stay in contact with my neighbor and sometimes I consult him when I face difficulties."</t>
  </si>
  <si>
    <t xml:space="preserve">P2, P4</t>
  </si>
  <si>
    <t xml:space="preserve">US13</t>
  </si>
  <si>
    <t xml:space="preserve">Multi-contact verification search</t>
  </si>
  <si>
    <t xml:space="preserve">User contacts several people just to find someone willing to verify their account.</t>
  </si>
  <si>
    <t xml:space="preserve">Apply when participant describes searching multiple contacts to complete verification.</t>
  </si>
  <si>
    <t xml:space="preserve">"I had to contact several people who were already using WeChat just to get verified."</t>
  </si>
  <si>
    <t xml:space="preserve">UR1</t>
  </si>
  <si>
    <t xml:space="preserve">English-language interface</t>
  </si>
  <si>
    <t xml:space="preserve">Participant requests a clearer, more complete English-language interface throughout the platform.</t>
  </si>
  <si>
    <t xml:space="preserve">Apply when participant explicitly asks for English UI or better English support.</t>
  </si>
  <si>
    <t xml:space="preserve">"Better English support and easy verification for international users."</t>
  </si>
  <si>
    <t xml:space="preserve">P2, P6, P7</t>
  </si>
  <si>
    <t xml:space="preserve">UR2</t>
  </si>
  <si>
    <t xml:space="preserve">Simplified international onboarding</t>
  </si>
  <si>
    <t xml:space="preserve">Participant requests an easier, structured onboarding flow specifically designed for foreign users.</t>
  </si>
  <si>
    <t xml:space="preserve">Apply when participant explicitly asks for foreigner-friendly registration or onboarding.</t>
  </si>
  <si>
    <t xml:space="preserve">"Structured introduction for international users."</t>
  </si>
  <si>
    <t xml:space="preserve">UR3</t>
  </si>
  <si>
    <t xml:space="preserve">International banking integration</t>
  </si>
  <si>
    <t xml:space="preserve">Participant requests integration with international banks so cross-border payment is possible.</t>
  </si>
  <si>
    <t xml:space="preserve">Apply when participant explicitly asks for international banking or payment improvements.</t>
  </si>
  <si>
    <t xml:space="preserve">"Getting collaborated with international banks."</t>
  </si>
  <si>
    <t xml:space="preserve">P10, P6</t>
  </si>
  <si>
    <t xml:space="preserve">UR4</t>
  </si>
  <si>
    <t xml:space="preserve">Better translation accuracy</t>
  </si>
  <si>
    <t xml:space="preserve">Participant calls for more accurate, context-aware in-app translation.</t>
  </si>
  <si>
    <t xml:space="preserve">Apply when participant explicitly asks for improved translation features.</t>
  </si>
  <si>
    <t xml:space="preserve">"If I could just transfer tk which could become Chinese yuan instantly. Also these Chinese people should learn some good English."</t>
  </si>
  <si>
    <t xml:space="preserve">UR5</t>
  </si>
  <si>
    <t xml:space="preserve">Pre-travel training / guidelines</t>
  </si>
  <si>
    <t xml:space="preserve">Participant requests official guidelines, training materials, or warnings for new business visitors before they arrive in China.</t>
  </si>
  <si>
    <t xml:space="preserve">Apply when participant explicitly asks for educational resources or warnings prior to travel.</t>
  </si>
  <si>
    <t xml:space="preserve">"Guidelines for new business visitors explaining apps like WeChat, QQ and Alipay."</t>
  </si>
  <si>
    <t xml:space="preserve">P3, P5</t>
  </si>
  <si>
    <t xml:space="preserve">UR6</t>
  </si>
  <si>
    <t xml:space="preserve">English product descriptions</t>
  </si>
  <si>
    <t xml:space="preserve">Participant asks for product listings to include English-language descriptions, not just interface translation.</t>
  </si>
  <si>
    <t xml:space="preserve">Apply when participant asks for content (not UI) localization.</t>
  </si>
  <si>
    <t xml:space="preserve">"There should be a section where all products are displayed with descriptions in English."</t>
  </si>
  <si>
    <t xml:space="preserve">UR7</t>
  </si>
  <si>
    <t xml:space="preserve">Account suspension transparency</t>
  </si>
  <si>
    <t xml:space="preserve">Participant calls for clearer explanations and recovery flows when accounts are suspended or flagged.</t>
  </si>
  <si>
    <t xml:space="preserve">Apply when participant requests transparency about account governance.</t>
  </si>
  <si>
    <t xml:space="preserve">UR8</t>
  </si>
  <si>
    <t xml:space="preserve">Expected outcome: faster business operations</t>
  </si>
  <si>
    <t xml:space="preserve">Participant believes solving these barriers would speed up sourcing, negotiation, and delivery.</t>
  </si>
  <si>
    <t xml:space="preserve">Apply when participant explicitly imagines faster operations as a future outcome.</t>
  </si>
  <si>
    <t xml:space="preserve">"I could bargain better prices, confirm orders more quickly and avoid delays."</t>
  </si>
  <si>
    <t xml:space="preserve">P2, P9</t>
  </si>
  <si>
    <t xml:space="preserve">UR9</t>
  </si>
  <si>
    <t xml:space="preserve">Expected outcome: reduced errors</t>
  </si>
  <si>
    <t xml:space="preserve">Participant believes fixing these issues would reduce business and communication mistakes.</t>
  </si>
  <si>
    <t xml:space="preserve">Apply when participant explicitly imagines fewer errors as a future outcome.</t>
  </si>
  <si>
    <t xml:space="preserve">"Communication would be much faster… mistakes would reduce."</t>
  </si>
  <si>
    <t xml:space="preserve">UR10</t>
  </si>
  <si>
    <t xml:space="preserve">Expected outcome: increased market entry</t>
  </si>
  <si>
    <t xml:space="preserve">Participant believes more Bangladeshi businesses would enter the China trade if barriers were removed.</t>
  </si>
  <si>
    <t xml:space="preserve">Apply when participant explicitly imagines wider market participation as a future outcome.</t>
  </si>
  <si>
    <t xml:space="preserve">"Many people I know want to do business, but they can't because of these barriers. If these problems are solved, more people will definitely join."</t>
  </si>
  <si>
    <t xml:space="preserve">P6, P8</t>
  </si>
  <si>
    <t xml:space="preserve">UR11</t>
  </si>
  <si>
    <t xml:space="preserve">Expected outcome: better trust and relationships</t>
  </si>
  <si>
    <t xml:space="preserve">Participant believes solving these issues would improve supplier trust and relationship quality.</t>
  </si>
  <si>
    <t xml:space="preserve">Apply when participant ties future outcomes specifically to trust or relationship building.</t>
  </si>
  <si>
    <t xml:space="preserve">"If we both have trust and securities then there will be much free communication."</t>
  </si>
  <si>
    <t xml:space="preserve">UR12</t>
  </si>
  <si>
    <t xml:space="preserve">Expected outcome: greater independence</t>
  </si>
  <si>
    <t xml:space="preserve">Participant believes they could operate independently if barriers were removed, without relying on agents or networks.</t>
  </si>
  <si>
    <t xml:space="preserve">Apply when participant imagines reduced dependency as a future outcome.</t>
  </si>
  <si>
    <t xml:space="preserve">"Operate more independently… exploring new markets and suppliers."</t>
  </si>
  <si>
    <t xml:space="preserve">P4, P11</t>
  </si>
  <si>
    <t xml:space="preserve">Participant</t>
  </si>
  <si>
    <t xml:space="preserve">Original Initial Code</t>
  </si>
  <si>
    <t xml:space="preserve">HCI / UX Dimension</t>
  </si>
  <si>
    <t xml:space="preserve">Assigned Theme</t>
  </si>
  <si>
    <t xml:space="preserve">Platform ecosystem mismatch</t>
  </si>
  <si>
    <t xml:space="preserve">Platform compatibility / digital ecosystem</t>
  </si>
  <si>
    <t xml:space="preserve">Existing-user verification barrier</t>
  </si>
  <si>
    <t xml:space="preserve">Authentication / authorization</t>
  </si>
  <si>
    <t xml:space="preserve">Dependency on local helper for onboarding</t>
  </si>
  <si>
    <t xml:space="preserve">Access mediation</t>
  </si>
  <si>
    <t xml:space="preserve">Cross-border payment feature restriction</t>
  </si>
  <si>
    <t xml:space="preserve">Transaction usability / fintech access</t>
  </si>
  <si>
    <t xml:space="preserve">Time loss from digital ecosystem confusion</t>
  </si>
  <si>
    <t xml:space="preserve">Learnability / cognitive load</t>
  </si>
  <si>
    <t xml:space="preserve">Communication workflow / responsiveness</t>
  </si>
  <si>
    <t xml:space="preserve">Payment confirmation delay causing shipment delay</t>
  </si>
  <si>
    <t xml:space="preserve">Operational impact</t>
  </si>
  <si>
    <t xml:space="preserve">Secondary financial loss from platform delay</t>
  </si>
  <si>
    <t xml:space="preserve">Business risk / cost</t>
  </si>
  <si>
    <t xml:space="preserve">Buyer legitimacy questioned after payment delay</t>
  </si>
  <si>
    <t xml:space="preserve">Trust / credibility</t>
  </si>
  <si>
    <t xml:space="preserve">Local agent as workaround</t>
  </si>
  <si>
    <t xml:space="preserve">Mediated interaction / workaround</t>
  </si>
  <si>
    <t xml:space="preserve">Hidden translation feature discoverability problem</t>
  </si>
  <si>
    <t xml:space="preserve">Interface learnability / localization</t>
  </si>
  <si>
    <t xml:space="preserve">Need for newcomer onboarding guide</t>
  </si>
  <si>
    <t xml:space="preserve">Onboarding / user education</t>
  </si>
  <si>
    <t xml:space="preserve">Third-party assisted onboarding</t>
  </si>
  <si>
    <t xml:space="preserve">Onboarding / social support</t>
  </si>
  <si>
    <t xml:space="preserve">Non-localized interface barrier</t>
  </si>
  <si>
    <t xml:space="preserve">Localization / usability</t>
  </si>
  <si>
    <t xml:space="preserve">User confidence / independence</t>
  </si>
  <si>
    <t xml:space="preserve">Device change re-verification barrier</t>
  </si>
  <si>
    <t xml:space="preserve">Authentication resilience</t>
  </si>
  <si>
    <t xml:space="preserve">Opaque account suspension</t>
  </si>
  <si>
    <t xml:space="preserve">System transparency / account governance</t>
  </si>
  <si>
    <t xml:space="preserve">Account access failure halts business</t>
  </si>
  <si>
    <t xml:space="preserve">Service dependency / continuity</t>
  </si>
  <si>
    <t xml:space="preserve">Lack of cross-platform flexibility</t>
  </si>
  <si>
    <t xml:space="preserve">Late reply interpreted as fraud</t>
  </si>
  <si>
    <t xml:space="preserve">Trust / identity</t>
  </si>
  <si>
    <t xml:space="preserve">Restricted payment interoperability</t>
  </si>
  <si>
    <t xml:space="preserve">Payment integration / cross-border access</t>
  </si>
  <si>
    <t xml:space="preserve">Paid human intermediary</t>
  </si>
  <si>
    <t xml:space="preserve">Workaround / mediated communication</t>
  </si>
  <si>
    <t xml:space="preserve">Compulsory platform adoption</t>
  </si>
  <si>
    <t xml:space="preserve">User agency / constraints</t>
  </si>
  <si>
    <t xml:space="preserve">Localized access improvement request</t>
  </si>
  <si>
    <t xml:space="preserve">Localization / inclusive design</t>
  </si>
  <si>
    <t xml:space="preserve">Efficiency and competitiveness gain if barriers solved</t>
  </si>
  <si>
    <t xml:space="preserve">Business performance / UX outcome</t>
  </si>
  <si>
    <t xml:space="preserve">Group-supported onboarding</t>
  </si>
  <si>
    <t xml:space="preserve">Guided onboarding / scaffolding</t>
  </si>
  <si>
    <t xml:space="preserve">Digital plus physical market navigation burden</t>
  </si>
  <si>
    <t xml:space="preserve">User journey / service ecosystem</t>
  </si>
  <si>
    <t xml:space="preserve">Blocked familiar communication channels</t>
  </si>
  <si>
    <t xml:space="preserve">Platform access restriction</t>
  </si>
  <si>
    <t xml:space="preserve">Information access / discoverability</t>
  </si>
  <si>
    <t xml:space="preserve">Single-app dependency risk</t>
  </si>
  <si>
    <t xml:space="preserve">Service reliability / business continuity</t>
  </si>
  <si>
    <t xml:space="preserve">End-to-end localization barrier</t>
  </si>
  <si>
    <t xml:space="preserve">Localization / comprehension</t>
  </si>
  <si>
    <t xml:space="preserve">Bank transfer delay after payment restriction</t>
  </si>
  <si>
    <t xml:space="preserve">Payment workflow / operational impact</t>
  </si>
  <si>
    <t xml:space="preserve">Delay-induced supplier distrust</t>
  </si>
  <si>
    <t xml:space="preserve">Trust / responsiveness</t>
  </si>
  <si>
    <t xml:space="preserve">Logistics company as communication mediator</t>
  </si>
  <si>
    <t xml:space="preserve">Mediated communication / workaround</t>
  </si>
  <si>
    <t xml:space="preserve">Limited backup channel availability</t>
  </si>
  <si>
    <t xml:space="preserve">Business visitor onboarding guideline</t>
  </si>
  <si>
    <t xml:space="preserve">Onboarding / documentation</t>
  </si>
  <si>
    <t xml:space="preserve">Trusted mentor as entry point</t>
  </si>
  <si>
    <t xml:space="preserve">Social onboarding / mentorship</t>
  </si>
  <si>
    <t xml:space="preserve">Hands-on guided setup</t>
  </si>
  <si>
    <t xml:space="preserve">Guided onboarding / learnability</t>
  </si>
  <si>
    <t xml:space="preserve">Basic language learning as UX support</t>
  </si>
  <si>
    <t xml:space="preserve">Cross-cultural communication</t>
  </si>
  <si>
    <t xml:space="preserve">Information architecture / ecosystem usability</t>
  </si>
  <si>
    <t xml:space="preserve">Region/SIM dependent feature availability</t>
  </si>
  <si>
    <t xml:space="preserve">Context-aware access / localization</t>
  </si>
  <si>
    <t xml:space="preserve">Inconsistent cross-border functionality</t>
  </si>
  <si>
    <t xml:space="preserve">System consistency / reliability</t>
  </si>
  <si>
    <t xml:space="preserve">Specification misunderstanding risk</t>
  </si>
  <si>
    <t xml:space="preserve">Communication accuracy / domain language</t>
  </si>
  <si>
    <t xml:space="preserve">Visual confirmation workaround</t>
  </si>
  <si>
    <t xml:space="preserve">Multimodal communication</t>
  </si>
  <si>
    <t xml:space="preserve">Notification design / attention management</t>
  </si>
  <si>
    <t xml:space="preserve">Consistency needed for trust</t>
  </si>
  <si>
    <t xml:space="preserve">Trust / reliability</t>
  </si>
  <si>
    <t xml:space="preserve">Ongoing mentor dependency</t>
  </si>
  <si>
    <t xml:space="preserve">Support network / workaround</t>
  </si>
  <si>
    <t xml:space="preserve">Structured international onboarding</t>
  </si>
  <si>
    <t xml:space="preserve">Onboarding / inclusive design</t>
  </si>
  <si>
    <t xml:space="preserve">Increased independence and exploration</t>
  </si>
  <si>
    <t xml:space="preserve">User empowerment / business growth</t>
  </si>
  <si>
    <t xml:space="preserve">New user overwhelm</t>
  </si>
  <si>
    <t xml:space="preserve">Onboarding / cognitive load</t>
  </si>
  <si>
    <t xml:space="preserve">Expectation mismatch with local ecosystem</t>
  </si>
  <si>
    <t xml:space="preserve">Mental model mismatch</t>
  </si>
  <si>
    <t xml:space="preserve">Super-app role misunderstanding</t>
  </si>
  <si>
    <t xml:space="preserve">Platform mental model / ecosystem</t>
  </si>
  <si>
    <t xml:space="preserve">Pre-arrival preparation gap</t>
  </si>
  <si>
    <t xml:space="preserve">User education / readiness</t>
  </si>
  <si>
    <t xml:space="preserve">Tool-use gap blocks business execution</t>
  </si>
  <si>
    <t xml:space="preserve">Digital literacy / task performance</t>
  </si>
  <si>
    <t xml:space="preserve">Message/notification structure misunderstanding</t>
  </si>
  <si>
    <t xml:space="preserve">Notification design / information architecture</t>
  </si>
  <si>
    <t xml:space="preserve">Slow response from platform discomfort</t>
  </si>
  <si>
    <t xml:space="preserve">Communication efficiency</t>
  </si>
  <si>
    <t xml:space="preserve">Full workflow disruption</t>
  </si>
  <si>
    <t xml:space="preserve">End-to-end service design</t>
  </si>
  <si>
    <t xml:space="preserve">Supplier uncertainty due to communication gap</t>
  </si>
  <si>
    <t xml:space="preserve">Trust / process clarity</t>
  </si>
  <si>
    <t xml:space="preserve">Intermediary as UX bridge</t>
  </si>
  <si>
    <t xml:space="preserve">Mediation / service support</t>
  </si>
  <si>
    <t xml:space="preserve">Long-term dependency risk</t>
  </si>
  <si>
    <t xml:space="preserve">Digital literacy / autonomy</t>
  </si>
  <si>
    <t xml:space="preserve">Pre-travel platform training need</t>
  </si>
  <si>
    <t xml:space="preserve">Onboarding / training intervention</t>
  </si>
  <si>
    <t xml:space="preserve">Persistent need for expert mediation</t>
  </si>
  <si>
    <t xml:space="preserve">Service ecosystem / complexity</t>
  </si>
  <si>
    <t xml:space="preserve">WeChat as essential infrastructure</t>
  </si>
  <si>
    <t xml:space="preserve">Platform dependency / critical system</t>
  </si>
  <si>
    <t xml:space="preserve">Learnability / onboarding</t>
  </si>
  <si>
    <t xml:space="preserve">Verification and ecosystem dependency</t>
  </si>
  <si>
    <t xml:space="preserve">Authentication / platform lock-in</t>
  </si>
  <si>
    <t xml:space="preserve">Chinese-bank requirement for finance features</t>
  </si>
  <si>
    <t xml:space="preserve">Payment integration / eligibility</t>
  </si>
  <si>
    <t xml:space="preserve">Single point of communication failure</t>
  </si>
  <si>
    <t xml:space="preserve">Reliability / resilience</t>
  </si>
  <si>
    <t xml:space="preserve">Account flagging disrupts shipment confirmation</t>
  </si>
  <si>
    <t xml:space="preserve">Account governance / operational impact</t>
  </si>
  <si>
    <t xml:space="preserve">Inconsistent communication weakens trust</t>
  </si>
  <si>
    <t xml:space="preserve">Multi-layer risk mitigation</t>
  </si>
  <si>
    <t xml:space="preserve">Resilience strategy / workaround</t>
  </si>
  <si>
    <t xml:space="preserve">Channel selection by urgency/formality</t>
  </si>
  <si>
    <t xml:space="preserve">Communication strategy</t>
  </si>
  <si>
    <t xml:space="preserve">Cross-border payment complexity</t>
  </si>
  <si>
    <t xml:space="preserve">Transaction UX / financial integration</t>
  </si>
  <si>
    <t xml:space="preserve">Foreign-user access and localization improvements</t>
  </si>
  <si>
    <t xml:space="preserve">Inclusive design / integration</t>
  </si>
  <si>
    <t xml:space="preserve">Reduced barriers increase market entry</t>
  </si>
  <si>
    <t xml:space="preserve">Business expansion / adoption</t>
  </si>
  <si>
    <t xml:space="preserve">Forced adaptation to WeChat</t>
  </si>
  <si>
    <t xml:space="preserve">Platform lock-in / user agency</t>
  </si>
  <si>
    <t xml:space="preserve">No-network verification barrier</t>
  </si>
  <si>
    <t xml:space="preserve">Authentication / social dependency</t>
  </si>
  <si>
    <t xml:space="preserve">Partial/unclear translation problem</t>
  </si>
  <si>
    <t xml:space="preserve">Localization / translation quality</t>
  </si>
  <si>
    <t xml:space="preserve">No fallback communication channel</t>
  </si>
  <si>
    <t xml:space="preserve">Platform resilience / fallback design</t>
  </si>
  <si>
    <t xml:space="preserve">Delayed message creates specification error</t>
  </si>
  <si>
    <t xml:space="preserve">Communication accuracy / operational impact</t>
  </si>
  <si>
    <t xml:space="preserve">Trust / impression management</t>
  </si>
  <si>
    <t xml:space="preserve">Confirmation and simplification strategy</t>
  </si>
  <si>
    <t xml:space="preserve">Error prevention / communication design</t>
  </si>
  <si>
    <t xml:space="preserve">Peer support for platform navigation</t>
  </si>
  <si>
    <t xml:space="preserve">Collaborative workaround</t>
  </si>
  <si>
    <t xml:space="preserve">Risk reduction / channel strategy</t>
  </si>
  <si>
    <t xml:space="preserve">Navigation confusion from unclear English</t>
  </si>
  <si>
    <t xml:space="preserve">Information architecture / localization</t>
  </si>
  <si>
    <t xml:space="preserve">Improved localization and registration</t>
  </si>
  <si>
    <t xml:space="preserve">Inclusive design / onboarding</t>
  </si>
  <si>
    <t xml:space="preserve">Reduced errors and faster communication</t>
  </si>
  <si>
    <t xml:space="preserve">UX outcome / efficiency</t>
  </si>
  <si>
    <t xml:space="preserve">Messy interface perception</t>
  </si>
  <si>
    <t xml:space="preserve">Visual/interface usability</t>
  </si>
  <si>
    <t xml:space="preserve">Manual screenshot translation workflow</t>
  </si>
  <si>
    <t xml:space="preserve">Localization workaround / effort</t>
  </si>
  <si>
    <t xml:space="preserve">Bidirectional language conversion burden</t>
  </si>
  <si>
    <t xml:space="preserve">Cross-language communication</t>
  </si>
  <si>
    <t xml:space="preserve">Unfamiliar mandatory platform</t>
  </si>
  <si>
    <t xml:space="preserve">Platform mismatch / adoption barrier</t>
  </si>
  <si>
    <t xml:space="preserve">Referral/Chinese verifier requirement</t>
  </si>
  <si>
    <t xml:space="preserve">Onboarding effort / social search</t>
  </si>
  <si>
    <t xml:space="preserve">Mistranslation undermines trust</t>
  </si>
  <si>
    <t xml:space="preserve">Communication accuracy / trust</t>
  </si>
  <si>
    <t xml:space="preserve">Limited communication weakens price negotiation</t>
  </si>
  <si>
    <t xml:space="preserve">Negotiation UX / power imbalance</t>
  </si>
  <si>
    <t xml:space="preserve">No effective coping strategy</t>
  </si>
  <si>
    <t xml:space="preserve">User support gap</t>
  </si>
  <si>
    <t xml:space="preserve">No clear communication strategy</t>
  </si>
  <si>
    <t xml:space="preserve">Digital literacy / strategy absence</t>
  </si>
  <si>
    <t xml:space="preserve">Efficiency / cognitive load</t>
  </si>
  <si>
    <t xml:space="preserve">English product information need</t>
  </si>
  <si>
    <t xml:space="preserve">Content localization / product discoverability</t>
  </si>
  <si>
    <t xml:space="preserve">Barrier removal enables business participation</t>
  </si>
  <si>
    <t xml:space="preserve">Adoption / business expansion</t>
  </si>
  <si>
    <t xml:space="preserve">Number of Codes (in Mapping sheet)</t>
  </si>
  <si>
    <t xml:space="preserve">TOTAL</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</si>
</sst>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name val="Arial"/>
      <family val="0"/>
      <charset val="1"/>
    </font>
    <font>
      <sz val="10"/>
      <name val="Arial"/>
      <family val="0"/>
      <charset val="1"/>
    </font>
  </fonts>
  <fills count="10">
    <fill>
      <patternFill patternType="none"/>
    </fill>
    <fill>
      <patternFill patternType="gray125"/>
    </fill>
    <fill>
      <patternFill patternType="solid">
        <fgColor rgb="FF305496"/>
        <bgColor rgb="FF666699"/>
      </patternFill>
    </fill>
    <fill>
      <patternFill patternType="solid">
        <fgColor rgb="FFFFF2CC"/>
        <bgColor rgb="FFFCE4D6"/>
      </patternFill>
    </fill>
    <fill>
      <patternFill patternType="solid">
        <fgColor rgb="FFFCE4D6"/>
        <bgColor rgb="FFFFF2CC"/>
      </patternFill>
    </fill>
    <fill>
      <patternFill patternType="solid">
        <fgColor rgb="FFDDEBF7"/>
        <bgColor rgb="FFD9E1F2"/>
      </patternFill>
    </fill>
    <fill>
      <patternFill patternType="solid">
        <fgColor rgb="FFF8CBAD"/>
        <bgColor rgb="FFFCE4D6"/>
      </patternFill>
    </fill>
    <fill>
      <patternFill patternType="solid">
        <fgColor rgb="FFE2EFDA"/>
        <bgColor rgb="FFDDEBF7"/>
      </patternFill>
    </fill>
    <fill>
      <patternFill patternType="solid">
        <fgColor rgb="FFE4DFEC"/>
        <bgColor rgb="FFD9E1F2"/>
      </patternFill>
    </fill>
    <fill>
      <patternFill patternType="solid">
        <fgColor rgb="FFD9E1F2"/>
        <bgColor rgb="FFE4DFE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5"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65"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5"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65" fontId="6" fillId="8"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left" vertical="center" textRotation="0" wrapText="false" indent="0" shrinkToFit="false"/>
      <protection locked="true" hidden="false"/>
    </xf>
    <xf numFmtId="165" fontId="5" fillId="9"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4DFEC"/>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5"/>
  </cols>
  <sheetData>
    <row r="1" customFormat="false" ht="27.75" hidden="false" customHeight="true" outlineLevel="0" collapsed="false">
      <c r="A1" s="1" t="s">
        <v>0</v>
      </c>
      <c r="B1" s="1" t="s">
        <v>1</v>
      </c>
    </row>
    <row r="2" customFormat="false" ht="15" hidden="false" customHeight="false" outlineLevel="0" collapsed="false">
      <c r="A2" s="2" t="s">
        <v>2</v>
      </c>
      <c r="B2" s="3"/>
    </row>
    <row r="3" customFormat="false" ht="15" hidden="false" customHeight="false" outlineLevel="0" collapsed="false">
      <c r="A3" s="2"/>
      <c r="B3" s="3"/>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t="s">
        <v>7</v>
      </c>
      <c r="B6" s="3" t="s">
        <v>8</v>
      </c>
    </row>
    <row r="7" customFormat="false" ht="15" hidden="false" customHeight="false" outlineLevel="0" collapsed="false">
      <c r="A7" s="2" t="s">
        <v>9</v>
      </c>
      <c r="B7" s="3" t="s">
        <v>10</v>
      </c>
    </row>
    <row r="8" customFormat="false" ht="15" hidden="false" customHeight="false" outlineLevel="0" collapsed="false">
      <c r="A8" s="2"/>
      <c r="B8" s="3"/>
    </row>
    <row r="9" customFormat="false" ht="35.05" hidden="false" customHeight="false" outlineLevel="0" collapsed="false">
      <c r="A9" s="2" t="s">
        <v>11</v>
      </c>
      <c r="B9" s="3" t="s">
        <v>12</v>
      </c>
    </row>
    <row r="10" customFormat="false" ht="15" hidden="false" customHeight="false" outlineLevel="0" collapsed="false">
      <c r="A10" s="2"/>
      <c r="B10" s="3"/>
    </row>
    <row r="11" customFormat="false" ht="35.05" hidden="false" customHeight="false" outlineLevel="0" collapsed="false">
      <c r="A11" s="2" t="s">
        <v>13</v>
      </c>
      <c r="B11" s="3" t="s">
        <v>14</v>
      </c>
    </row>
    <row r="12" customFormat="false" ht="15" hidden="false" customHeight="false" outlineLevel="0" collapsed="false">
      <c r="A12" s="2"/>
      <c r="B12" s="3"/>
    </row>
    <row r="13" customFormat="false" ht="23.85" hidden="false" customHeight="false" outlineLevel="0" collapsed="false">
      <c r="A13" s="2" t="s">
        <v>15</v>
      </c>
      <c r="B13" s="3" t="s">
        <v>16</v>
      </c>
    </row>
    <row r="14" customFormat="false" ht="15" hidden="false" customHeight="false" outlineLevel="0" collapsed="false">
      <c r="A14" s="2"/>
      <c r="B14" s="3"/>
    </row>
    <row r="15" customFormat="false" ht="15" hidden="false" customHeight="false" outlineLevel="0" collapsed="false">
      <c r="A15" s="2" t="s">
        <v>17</v>
      </c>
      <c r="B15" s="3"/>
    </row>
    <row r="16" customFormat="false" ht="15" hidden="false" customHeight="false" outlineLevel="0" collapsed="false">
      <c r="A16" s="2" t="s">
        <v>18</v>
      </c>
      <c r="B16" s="3" t="s">
        <v>19</v>
      </c>
    </row>
    <row r="17" customFormat="false" ht="23.85" hidden="false" customHeight="false" outlineLevel="0" collapsed="false">
      <c r="A17" s="2" t="s">
        <v>20</v>
      </c>
      <c r="B17" s="3" t="s">
        <v>21</v>
      </c>
    </row>
    <row r="18" customFormat="false" ht="23.85" hidden="false" customHeight="false" outlineLevel="0" collapsed="false">
      <c r="A18" s="2" t="s">
        <v>22</v>
      </c>
      <c r="B18" s="3" t="s">
        <v>23</v>
      </c>
    </row>
    <row r="19" customFormat="false" ht="15" hidden="false" customHeight="false" outlineLevel="0" collapsed="false">
      <c r="A19" s="2" t="s">
        <v>24</v>
      </c>
      <c r="B19" s="3" t="s">
        <v>25</v>
      </c>
    </row>
    <row r="20" customFormat="false" ht="15" hidden="false" customHeight="false" outlineLevel="0" collapsed="false">
      <c r="A20" s="2"/>
      <c r="B20" s="3"/>
    </row>
    <row r="21" customFormat="false" ht="23.85" hidden="false" customHeight="false" outlineLevel="0" collapsed="false">
      <c r="A21" s="2" t="s">
        <v>26</v>
      </c>
      <c r="B21" s="3"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2"/>
    <col collapsed="false" customWidth="true" hidden="false" outlineLevel="0" max="3" min="3" style="0" width="55"/>
    <col collapsed="false" customWidth="true" hidden="false" outlineLevel="0" max="4" min="4" style="0" width="80"/>
  </cols>
  <sheetData>
    <row r="1" customFormat="false" ht="30" hidden="false" customHeight="true" outlineLevel="0" collapsed="false">
      <c r="A1" s="1" t="s">
        <v>28</v>
      </c>
      <c r="B1" s="1" t="s">
        <v>29</v>
      </c>
      <c r="C1" s="1" t="s">
        <v>30</v>
      </c>
      <c r="D1" s="1" t="s">
        <v>31</v>
      </c>
    </row>
    <row r="2" customFormat="false" ht="35.05" hidden="false" customHeight="false" outlineLevel="0" collapsed="false">
      <c r="A2" s="4" t="s">
        <v>32</v>
      </c>
      <c r="B2" s="4" t="s">
        <v>33</v>
      </c>
      <c r="C2" s="4" t="s">
        <v>34</v>
      </c>
      <c r="D2" s="4" t="s">
        <v>35</v>
      </c>
    </row>
    <row r="3" customFormat="false" ht="46.25" hidden="false" customHeight="false" outlineLevel="0" collapsed="false">
      <c r="A3" s="5" t="s">
        <v>36</v>
      </c>
      <c r="B3" s="5" t="s">
        <v>37</v>
      </c>
      <c r="C3" s="5" t="s">
        <v>38</v>
      </c>
      <c r="D3" s="5" t="s">
        <v>39</v>
      </c>
    </row>
    <row r="4" customFormat="false" ht="35.05" hidden="false" customHeight="false" outlineLevel="0" collapsed="false">
      <c r="A4" s="6" t="s">
        <v>40</v>
      </c>
      <c r="B4" s="6" t="s">
        <v>41</v>
      </c>
      <c r="C4" s="6" t="s">
        <v>42</v>
      </c>
      <c r="D4" s="6" t="s">
        <v>43</v>
      </c>
    </row>
    <row r="5" customFormat="false" ht="35.05" hidden="false" customHeight="false" outlineLevel="0" collapsed="false">
      <c r="A5" s="7" t="s">
        <v>44</v>
      </c>
      <c r="B5" s="7" t="s">
        <v>45</v>
      </c>
      <c r="C5" s="7" t="s">
        <v>46</v>
      </c>
      <c r="D5" s="7" t="s">
        <v>47</v>
      </c>
    </row>
    <row r="6" customFormat="false" ht="46.25" hidden="false" customHeight="false" outlineLevel="0" collapsed="false">
      <c r="A6" s="8" t="s">
        <v>48</v>
      </c>
      <c r="B6" s="8" t="s">
        <v>49</v>
      </c>
      <c r="C6" s="8" t="s">
        <v>50</v>
      </c>
      <c r="D6" s="8" t="s">
        <v>51</v>
      </c>
    </row>
    <row r="7" customFormat="false" ht="57.45" hidden="false" customHeight="false" outlineLevel="0" collapsed="false">
      <c r="A7" s="9" t="s">
        <v>52</v>
      </c>
      <c r="B7" s="9" t="s">
        <v>53</v>
      </c>
      <c r="C7" s="9" t="s">
        <v>54</v>
      </c>
      <c r="D7" s="9"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6"/>
    <col collapsed="false" customWidth="true" hidden="false" outlineLevel="0" max="3" min="3" style="0" width="28"/>
    <col collapsed="false" customWidth="true" hidden="false" outlineLevel="0" max="5" min="4" style="0" width="50"/>
    <col collapsed="false" customWidth="true" hidden="false" outlineLevel="0" max="6" min="6" style="0" width="60"/>
    <col collapsed="false" customWidth="true" hidden="false" outlineLevel="0" max="7" min="7" style="0" width="22"/>
  </cols>
  <sheetData>
    <row r="1" customFormat="false" ht="30" hidden="false" customHeight="true" outlineLevel="0" collapsed="false">
      <c r="A1" s="1" t="s">
        <v>56</v>
      </c>
      <c r="B1" s="1" t="s">
        <v>57</v>
      </c>
      <c r="C1" s="1" t="s">
        <v>58</v>
      </c>
      <c r="D1" s="1" t="s">
        <v>30</v>
      </c>
      <c r="E1" s="1" t="s">
        <v>59</v>
      </c>
      <c r="F1" s="1" t="s">
        <v>60</v>
      </c>
      <c r="G1" s="1" t="s">
        <v>61</v>
      </c>
    </row>
    <row r="2" customFormat="false" ht="35.05" hidden="false" customHeight="false" outlineLevel="0" collapsed="false">
      <c r="A2" s="4" t="s">
        <v>62</v>
      </c>
      <c r="B2" s="4" t="s">
        <v>63</v>
      </c>
      <c r="C2" s="4" t="s">
        <v>33</v>
      </c>
      <c r="D2" s="4" t="s">
        <v>64</v>
      </c>
      <c r="E2" s="4" t="s">
        <v>65</v>
      </c>
      <c r="F2" s="4" t="s">
        <v>66</v>
      </c>
      <c r="G2" s="4" t="s">
        <v>67</v>
      </c>
    </row>
    <row r="3" customFormat="false" ht="23.85" hidden="false" customHeight="false" outlineLevel="0" collapsed="false">
      <c r="A3" s="4" t="s">
        <v>68</v>
      </c>
      <c r="B3" s="4" t="s">
        <v>69</v>
      </c>
      <c r="C3" s="4" t="s">
        <v>33</v>
      </c>
      <c r="D3" s="4" t="s">
        <v>70</v>
      </c>
      <c r="E3" s="4" t="s">
        <v>71</v>
      </c>
      <c r="F3" s="4" t="s">
        <v>72</v>
      </c>
      <c r="G3" s="4" t="s">
        <v>73</v>
      </c>
    </row>
    <row r="4" customFormat="false" ht="23.85" hidden="false" customHeight="false" outlineLevel="0" collapsed="false">
      <c r="A4" s="4" t="s">
        <v>74</v>
      </c>
      <c r="B4" s="4" t="s">
        <v>75</v>
      </c>
      <c r="C4" s="4" t="s">
        <v>33</v>
      </c>
      <c r="D4" s="4" t="s">
        <v>76</v>
      </c>
      <c r="E4" s="4" t="s">
        <v>77</v>
      </c>
      <c r="F4" s="4" t="s">
        <v>78</v>
      </c>
      <c r="G4" s="4" t="s">
        <v>79</v>
      </c>
    </row>
    <row r="5" customFormat="false" ht="23.85" hidden="false" customHeight="false" outlineLevel="0" collapsed="false">
      <c r="A5" s="4" t="s">
        <v>80</v>
      </c>
      <c r="B5" s="4" t="s">
        <v>81</v>
      </c>
      <c r="C5" s="4" t="s">
        <v>33</v>
      </c>
      <c r="D5" s="4" t="s">
        <v>82</v>
      </c>
      <c r="E5" s="4" t="s">
        <v>83</v>
      </c>
      <c r="F5" s="4" t="s">
        <v>84</v>
      </c>
      <c r="G5" s="4" t="s">
        <v>85</v>
      </c>
    </row>
    <row r="6" customFormat="false" ht="35.05" hidden="false" customHeight="false" outlineLevel="0" collapsed="false">
      <c r="A6" s="4" t="s">
        <v>86</v>
      </c>
      <c r="B6" s="4" t="s">
        <v>87</v>
      </c>
      <c r="C6" s="4" t="s">
        <v>33</v>
      </c>
      <c r="D6" s="4" t="s">
        <v>88</v>
      </c>
      <c r="E6" s="4" t="s">
        <v>89</v>
      </c>
      <c r="F6" s="4" t="s">
        <v>90</v>
      </c>
      <c r="G6" s="4" t="s">
        <v>91</v>
      </c>
    </row>
    <row r="7" customFormat="false" ht="23.85" hidden="false" customHeight="false" outlineLevel="0" collapsed="false">
      <c r="A7" s="4" t="s">
        <v>92</v>
      </c>
      <c r="B7" s="4" t="s">
        <v>93</v>
      </c>
      <c r="C7" s="4" t="s">
        <v>33</v>
      </c>
      <c r="D7" s="4" t="s">
        <v>94</v>
      </c>
      <c r="E7" s="4" t="s">
        <v>95</v>
      </c>
      <c r="F7" s="4" t="s">
        <v>96</v>
      </c>
      <c r="G7" s="4" t="s">
        <v>97</v>
      </c>
    </row>
    <row r="8" customFormat="false" ht="23.85" hidden="false" customHeight="false" outlineLevel="0" collapsed="false">
      <c r="A8" s="4" t="s">
        <v>98</v>
      </c>
      <c r="B8" s="4" t="s">
        <v>99</v>
      </c>
      <c r="C8" s="4" t="s">
        <v>33</v>
      </c>
      <c r="D8" s="4" t="s">
        <v>100</v>
      </c>
      <c r="E8" s="4" t="s">
        <v>101</v>
      </c>
      <c r="F8" s="4" t="s">
        <v>102</v>
      </c>
      <c r="G8" s="4" t="s">
        <v>103</v>
      </c>
    </row>
    <row r="9" customFormat="false" ht="35.05" hidden="false" customHeight="false" outlineLevel="0" collapsed="false">
      <c r="A9" s="4" t="s">
        <v>104</v>
      </c>
      <c r="B9" s="4" t="s">
        <v>105</v>
      </c>
      <c r="C9" s="4" t="s">
        <v>33</v>
      </c>
      <c r="D9" s="4" t="s">
        <v>106</v>
      </c>
      <c r="E9" s="4" t="s">
        <v>107</v>
      </c>
      <c r="F9" s="4" t="s">
        <v>108</v>
      </c>
      <c r="G9" s="4" t="s">
        <v>109</v>
      </c>
    </row>
    <row r="10" customFormat="false" ht="23.85" hidden="false" customHeight="false" outlineLevel="0" collapsed="false">
      <c r="A10" s="4" t="s">
        <v>110</v>
      </c>
      <c r="B10" s="4" t="s">
        <v>111</v>
      </c>
      <c r="C10" s="4" t="s">
        <v>33</v>
      </c>
      <c r="D10" s="4" t="s">
        <v>112</v>
      </c>
      <c r="E10" s="4" t="s">
        <v>113</v>
      </c>
      <c r="F10" s="4" t="s">
        <v>114</v>
      </c>
      <c r="G10" s="4" t="s">
        <v>115</v>
      </c>
    </row>
    <row r="11" customFormat="false" ht="23.85" hidden="false" customHeight="false" outlineLevel="0" collapsed="false">
      <c r="A11" s="4" t="s">
        <v>116</v>
      </c>
      <c r="B11" s="4" t="s">
        <v>117</v>
      </c>
      <c r="C11" s="4" t="s">
        <v>33</v>
      </c>
      <c r="D11" s="4" t="s">
        <v>118</v>
      </c>
      <c r="E11" s="4" t="s">
        <v>119</v>
      </c>
      <c r="F11" s="4" t="s">
        <v>120</v>
      </c>
      <c r="G11" s="4" t="s">
        <v>121</v>
      </c>
    </row>
    <row r="12" customFormat="false" ht="35.05" hidden="false" customHeight="false" outlineLevel="0" collapsed="false">
      <c r="A12" s="5" t="s">
        <v>122</v>
      </c>
      <c r="B12" s="5" t="s">
        <v>123</v>
      </c>
      <c r="C12" s="5" t="s">
        <v>37</v>
      </c>
      <c r="D12" s="5" t="s">
        <v>124</v>
      </c>
      <c r="E12" s="5" t="s">
        <v>125</v>
      </c>
      <c r="F12" s="5" t="s">
        <v>126</v>
      </c>
      <c r="G12" s="5" t="s">
        <v>127</v>
      </c>
    </row>
    <row r="13" customFormat="false" ht="23.85" hidden="false" customHeight="false" outlineLevel="0" collapsed="false">
      <c r="A13" s="5" t="s">
        <v>128</v>
      </c>
      <c r="B13" s="5" t="s">
        <v>129</v>
      </c>
      <c r="C13" s="5" t="s">
        <v>37</v>
      </c>
      <c r="D13" s="5" t="s">
        <v>130</v>
      </c>
      <c r="E13" s="5" t="s">
        <v>131</v>
      </c>
      <c r="F13" s="5" t="s">
        <v>132</v>
      </c>
      <c r="G13" s="5" t="s">
        <v>133</v>
      </c>
    </row>
    <row r="14" customFormat="false" ht="35.05" hidden="false" customHeight="false" outlineLevel="0" collapsed="false">
      <c r="A14" s="5" t="s">
        <v>134</v>
      </c>
      <c r="B14" s="5" t="s">
        <v>135</v>
      </c>
      <c r="C14" s="5" t="s">
        <v>37</v>
      </c>
      <c r="D14" s="5" t="s">
        <v>136</v>
      </c>
      <c r="E14" s="5" t="s">
        <v>137</v>
      </c>
      <c r="F14" s="5" t="s">
        <v>138</v>
      </c>
      <c r="G14" s="5" t="s">
        <v>139</v>
      </c>
    </row>
    <row r="15" customFormat="false" ht="23.85" hidden="false" customHeight="false" outlineLevel="0" collapsed="false">
      <c r="A15" s="5" t="s">
        <v>140</v>
      </c>
      <c r="B15" s="5" t="s">
        <v>141</v>
      </c>
      <c r="C15" s="5" t="s">
        <v>37</v>
      </c>
      <c r="D15" s="5" t="s">
        <v>142</v>
      </c>
      <c r="E15" s="5" t="s">
        <v>143</v>
      </c>
      <c r="F15" s="5" t="s">
        <v>144</v>
      </c>
      <c r="G15" s="5" t="s">
        <v>91</v>
      </c>
    </row>
    <row r="16" customFormat="false" ht="23.85" hidden="false" customHeight="false" outlineLevel="0" collapsed="false">
      <c r="A16" s="5" t="s">
        <v>145</v>
      </c>
      <c r="B16" s="5" t="s">
        <v>146</v>
      </c>
      <c r="C16" s="5" t="s">
        <v>37</v>
      </c>
      <c r="D16" s="5" t="s">
        <v>147</v>
      </c>
      <c r="E16" s="5" t="s">
        <v>148</v>
      </c>
      <c r="F16" s="5" t="s">
        <v>149</v>
      </c>
      <c r="G16" s="5" t="s">
        <v>150</v>
      </c>
    </row>
    <row r="17" customFormat="false" ht="23.85" hidden="false" customHeight="false" outlineLevel="0" collapsed="false">
      <c r="A17" s="5" t="s">
        <v>151</v>
      </c>
      <c r="B17" s="5" t="s">
        <v>152</v>
      </c>
      <c r="C17" s="5" t="s">
        <v>37</v>
      </c>
      <c r="D17" s="5" t="s">
        <v>153</v>
      </c>
      <c r="E17" s="5" t="s">
        <v>154</v>
      </c>
      <c r="F17" s="5" t="s">
        <v>155</v>
      </c>
      <c r="G17" s="5" t="s">
        <v>156</v>
      </c>
    </row>
    <row r="18" customFormat="false" ht="35.05" hidden="false" customHeight="false" outlineLevel="0" collapsed="false">
      <c r="A18" s="5" t="s">
        <v>157</v>
      </c>
      <c r="B18" s="5" t="s">
        <v>158</v>
      </c>
      <c r="C18" s="5" t="s">
        <v>37</v>
      </c>
      <c r="D18" s="5" t="s">
        <v>159</v>
      </c>
      <c r="E18" s="5" t="s">
        <v>160</v>
      </c>
      <c r="F18" s="5" t="s">
        <v>161</v>
      </c>
      <c r="G18" s="5" t="s">
        <v>162</v>
      </c>
    </row>
    <row r="19" customFormat="false" ht="35.05" hidden="false" customHeight="false" outlineLevel="0" collapsed="false">
      <c r="A19" s="5" t="s">
        <v>163</v>
      </c>
      <c r="B19" s="5" t="s">
        <v>164</v>
      </c>
      <c r="C19" s="5" t="s">
        <v>37</v>
      </c>
      <c r="D19" s="5" t="s">
        <v>165</v>
      </c>
      <c r="E19" s="5" t="s">
        <v>166</v>
      </c>
      <c r="F19" s="5" t="s">
        <v>167</v>
      </c>
      <c r="G19" s="5" t="s">
        <v>168</v>
      </c>
    </row>
    <row r="20" customFormat="false" ht="23.85" hidden="false" customHeight="false" outlineLevel="0" collapsed="false">
      <c r="A20" s="5" t="s">
        <v>169</v>
      </c>
      <c r="B20" s="5" t="s">
        <v>170</v>
      </c>
      <c r="C20" s="5" t="s">
        <v>37</v>
      </c>
      <c r="D20" s="5" t="s">
        <v>171</v>
      </c>
      <c r="E20" s="5" t="s">
        <v>172</v>
      </c>
      <c r="F20" s="5" t="s">
        <v>173</v>
      </c>
      <c r="G20" s="5" t="s">
        <v>174</v>
      </c>
    </row>
    <row r="21" customFormat="false" ht="23.85" hidden="false" customHeight="false" outlineLevel="0" collapsed="false">
      <c r="A21" s="5" t="s">
        <v>175</v>
      </c>
      <c r="B21" s="5" t="s">
        <v>176</v>
      </c>
      <c r="C21" s="5" t="s">
        <v>37</v>
      </c>
      <c r="D21" s="5" t="s">
        <v>177</v>
      </c>
      <c r="E21" s="5" t="s">
        <v>178</v>
      </c>
      <c r="F21" s="5" t="s">
        <v>179</v>
      </c>
      <c r="G21" s="5" t="s">
        <v>180</v>
      </c>
    </row>
    <row r="22" customFormat="false" ht="23.85" hidden="false" customHeight="false" outlineLevel="0" collapsed="false">
      <c r="A22" s="6" t="s">
        <v>181</v>
      </c>
      <c r="B22" s="6" t="s">
        <v>182</v>
      </c>
      <c r="C22" s="6" t="s">
        <v>41</v>
      </c>
      <c r="D22" s="6" t="s">
        <v>183</v>
      </c>
      <c r="E22" s="6" t="s">
        <v>184</v>
      </c>
      <c r="F22" s="6" t="s">
        <v>185</v>
      </c>
      <c r="G22" s="6" t="s">
        <v>186</v>
      </c>
    </row>
    <row r="23" customFormat="false" ht="35.05" hidden="false" customHeight="false" outlineLevel="0" collapsed="false">
      <c r="A23" s="6" t="s">
        <v>187</v>
      </c>
      <c r="B23" s="6" t="s">
        <v>188</v>
      </c>
      <c r="C23" s="6" t="s">
        <v>41</v>
      </c>
      <c r="D23" s="6" t="s">
        <v>189</v>
      </c>
      <c r="E23" s="6" t="s">
        <v>190</v>
      </c>
      <c r="F23" s="6" t="s">
        <v>191</v>
      </c>
      <c r="G23" s="6" t="s">
        <v>103</v>
      </c>
    </row>
    <row r="24" customFormat="false" ht="23.85" hidden="false" customHeight="false" outlineLevel="0" collapsed="false">
      <c r="A24" s="6" t="s">
        <v>192</v>
      </c>
      <c r="B24" s="6" t="s">
        <v>193</v>
      </c>
      <c r="C24" s="6" t="s">
        <v>41</v>
      </c>
      <c r="D24" s="6" t="s">
        <v>194</v>
      </c>
      <c r="E24" s="6" t="s">
        <v>195</v>
      </c>
      <c r="F24" s="6" t="s">
        <v>196</v>
      </c>
      <c r="G24" s="6" t="s">
        <v>197</v>
      </c>
    </row>
    <row r="25" customFormat="false" ht="23.85" hidden="false" customHeight="false" outlineLevel="0" collapsed="false">
      <c r="A25" s="6" t="s">
        <v>198</v>
      </c>
      <c r="B25" s="6" t="s">
        <v>199</v>
      </c>
      <c r="C25" s="6" t="s">
        <v>41</v>
      </c>
      <c r="D25" s="6" t="s">
        <v>200</v>
      </c>
      <c r="E25" s="6" t="s">
        <v>201</v>
      </c>
      <c r="F25" s="6" t="s">
        <v>202</v>
      </c>
      <c r="G25" s="6" t="s">
        <v>203</v>
      </c>
    </row>
    <row r="26" customFormat="false" ht="23.85" hidden="false" customHeight="false" outlineLevel="0" collapsed="false">
      <c r="A26" s="6" t="s">
        <v>204</v>
      </c>
      <c r="B26" s="6" t="s">
        <v>205</v>
      </c>
      <c r="C26" s="6" t="s">
        <v>41</v>
      </c>
      <c r="D26" s="6" t="s">
        <v>206</v>
      </c>
      <c r="E26" s="6" t="s">
        <v>207</v>
      </c>
      <c r="F26" s="6" t="s">
        <v>208</v>
      </c>
      <c r="G26" s="6" t="s">
        <v>209</v>
      </c>
    </row>
    <row r="27" customFormat="false" ht="23.85" hidden="false" customHeight="false" outlineLevel="0" collapsed="false">
      <c r="A27" s="6" t="s">
        <v>210</v>
      </c>
      <c r="B27" s="6" t="s">
        <v>211</v>
      </c>
      <c r="C27" s="6" t="s">
        <v>41</v>
      </c>
      <c r="D27" s="6" t="s">
        <v>212</v>
      </c>
      <c r="E27" s="6" t="s">
        <v>213</v>
      </c>
      <c r="F27" s="6" t="s">
        <v>214</v>
      </c>
      <c r="G27" s="6" t="s">
        <v>215</v>
      </c>
    </row>
    <row r="28" customFormat="false" ht="23.85" hidden="false" customHeight="false" outlineLevel="0" collapsed="false">
      <c r="A28" s="6" t="s">
        <v>216</v>
      </c>
      <c r="B28" s="6" t="s">
        <v>217</v>
      </c>
      <c r="C28" s="6" t="s">
        <v>41</v>
      </c>
      <c r="D28" s="6" t="s">
        <v>218</v>
      </c>
      <c r="E28" s="6" t="s">
        <v>219</v>
      </c>
      <c r="F28" s="6" t="s">
        <v>220</v>
      </c>
      <c r="G28" s="6" t="s">
        <v>221</v>
      </c>
    </row>
    <row r="29" customFormat="false" ht="23.85" hidden="false" customHeight="false" outlineLevel="0" collapsed="false">
      <c r="A29" s="6" t="s">
        <v>222</v>
      </c>
      <c r="B29" s="6" t="s">
        <v>223</v>
      </c>
      <c r="C29" s="6" t="s">
        <v>41</v>
      </c>
      <c r="D29" s="6" t="s">
        <v>224</v>
      </c>
      <c r="E29" s="6" t="s">
        <v>225</v>
      </c>
      <c r="F29" s="6" t="s">
        <v>226</v>
      </c>
      <c r="G29" s="6" t="s">
        <v>103</v>
      </c>
    </row>
    <row r="30" customFormat="false" ht="23.85" hidden="false" customHeight="false" outlineLevel="0" collapsed="false">
      <c r="A30" s="6" t="s">
        <v>227</v>
      </c>
      <c r="B30" s="6" t="s">
        <v>228</v>
      </c>
      <c r="C30" s="6" t="s">
        <v>41</v>
      </c>
      <c r="D30" s="6" t="s">
        <v>229</v>
      </c>
      <c r="E30" s="6" t="s">
        <v>230</v>
      </c>
      <c r="F30" s="6" t="s">
        <v>231</v>
      </c>
      <c r="G30" s="6" t="s">
        <v>232</v>
      </c>
    </row>
    <row r="31" customFormat="false" ht="23.85" hidden="false" customHeight="false" outlineLevel="0" collapsed="false">
      <c r="A31" s="7" t="s">
        <v>233</v>
      </c>
      <c r="B31" s="7" t="s">
        <v>234</v>
      </c>
      <c r="C31" s="7" t="s">
        <v>45</v>
      </c>
      <c r="D31" s="7" t="s">
        <v>235</v>
      </c>
      <c r="E31" s="7" t="s">
        <v>236</v>
      </c>
      <c r="F31" s="7" t="s">
        <v>237</v>
      </c>
      <c r="G31" s="7" t="s">
        <v>238</v>
      </c>
    </row>
    <row r="32" customFormat="false" ht="23.85" hidden="false" customHeight="false" outlineLevel="0" collapsed="false">
      <c r="A32" s="7" t="s">
        <v>239</v>
      </c>
      <c r="B32" s="7" t="s">
        <v>240</v>
      </c>
      <c r="C32" s="7" t="s">
        <v>45</v>
      </c>
      <c r="D32" s="7" t="s">
        <v>241</v>
      </c>
      <c r="E32" s="7" t="s">
        <v>242</v>
      </c>
      <c r="F32" s="7" t="s">
        <v>243</v>
      </c>
      <c r="G32" s="7" t="s">
        <v>244</v>
      </c>
    </row>
    <row r="33" customFormat="false" ht="23.85" hidden="false" customHeight="false" outlineLevel="0" collapsed="false">
      <c r="A33" s="7" t="s">
        <v>245</v>
      </c>
      <c r="B33" s="7" t="s">
        <v>246</v>
      </c>
      <c r="C33" s="7" t="s">
        <v>45</v>
      </c>
      <c r="D33" s="7" t="s">
        <v>247</v>
      </c>
      <c r="E33" s="7" t="s">
        <v>248</v>
      </c>
      <c r="F33" s="7" t="s">
        <v>249</v>
      </c>
      <c r="G33" s="7" t="s">
        <v>79</v>
      </c>
    </row>
    <row r="34" customFormat="false" ht="23.85" hidden="false" customHeight="false" outlineLevel="0" collapsed="false">
      <c r="A34" s="7" t="s">
        <v>250</v>
      </c>
      <c r="B34" s="7" t="s">
        <v>251</v>
      </c>
      <c r="C34" s="7" t="s">
        <v>45</v>
      </c>
      <c r="D34" s="7" t="s">
        <v>252</v>
      </c>
      <c r="E34" s="7" t="s">
        <v>253</v>
      </c>
      <c r="F34" s="7" t="s">
        <v>254</v>
      </c>
      <c r="G34" s="7" t="s">
        <v>139</v>
      </c>
    </row>
    <row r="35" customFormat="false" ht="23.85" hidden="false" customHeight="false" outlineLevel="0" collapsed="false">
      <c r="A35" s="7" t="s">
        <v>255</v>
      </c>
      <c r="B35" s="7" t="s">
        <v>256</v>
      </c>
      <c r="C35" s="7" t="s">
        <v>45</v>
      </c>
      <c r="D35" s="7" t="s">
        <v>257</v>
      </c>
      <c r="E35" s="7" t="s">
        <v>258</v>
      </c>
      <c r="F35" s="7" t="s">
        <v>259</v>
      </c>
      <c r="G35" s="7" t="s">
        <v>260</v>
      </c>
    </row>
    <row r="36" customFormat="false" ht="23.85" hidden="false" customHeight="false" outlineLevel="0" collapsed="false">
      <c r="A36" s="7" t="s">
        <v>261</v>
      </c>
      <c r="B36" s="7" t="s">
        <v>262</v>
      </c>
      <c r="C36" s="7" t="s">
        <v>45</v>
      </c>
      <c r="D36" s="7" t="s">
        <v>263</v>
      </c>
      <c r="E36" s="7" t="s">
        <v>264</v>
      </c>
      <c r="F36" s="7" t="s">
        <v>265</v>
      </c>
      <c r="G36" s="7" t="s">
        <v>244</v>
      </c>
    </row>
    <row r="37" customFormat="false" ht="23.85" hidden="false" customHeight="false" outlineLevel="0" collapsed="false">
      <c r="A37" s="7" t="s">
        <v>266</v>
      </c>
      <c r="B37" s="7" t="s">
        <v>267</v>
      </c>
      <c r="C37" s="7" t="s">
        <v>45</v>
      </c>
      <c r="D37" s="7" t="s">
        <v>268</v>
      </c>
      <c r="E37" s="7" t="s">
        <v>269</v>
      </c>
      <c r="F37" s="7" t="s">
        <v>270</v>
      </c>
      <c r="G37" s="7" t="s">
        <v>156</v>
      </c>
    </row>
    <row r="38" customFormat="false" ht="35.05" hidden="false" customHeight="false" outlineLevel="0" collapsed="false">
      <c r="A38" s="7" t="s">
        <v>271</v>
      </c>
      <c r="B38" s="7" t="s">
        <v>272</v>
      </c>
      <c r="C38" s="7" t="s">
        <v>45</v>
      </c>
      <c r="D38" s="7" t="s">
        <v>273</v>
      </c>
      <c r="E38" s="7" t="s">
        <v>274</v>
      </c>
      <c r="F38" s="7" t="s">
        <v>275</v>
      </c>
      <c r="G38" s="7" t="s">
        <v>276</v>
      </c>
    </row>
    <row r="39" customFormat="false" ht="23.85" hidden="false" customHeight="false" outlineLevel="0" collapsed="false">
      <c r="A39" s="8" t="s">
        <v>277</v>
      </c>
      <c r="B39" s="8" t="s">
        <v>278</v>
      </c>
      <c r="C39" s="8" t="s">
        <v>49</v>
      </c>
      <c r="D39" s="8" t="s">
        <v>279</v>
      </c>
      <c r="E39" s="8" t="s">
        <v>280</v>
      </c>
      <c r="F39" s="8" t="s">
        <v>281</v>
      </c>
      <c r="G39" s="8" t="s">
        <v>203</v>
      </c>
    </row>
    <row r="40" customFormat="false" ht="23.85" hidden="false" customHeight="false" outlineLevel="0" collapsed="false">
      <c r="A40" s="8" t="s">
        <v>282</v>
      </c>
      <c r="B40" s="8" t="s">
        <v>283</v>
      </c>
      <c r="C40" s="8" t="s">
        <v>49</v>
      </c>
      <c r="D40" s="8" t="s">
        <v>284</v>
      </c>
      <c r="E40" s="8" t="s">
        <v>285</v>
      </c>
      <c r="F40" s="8" t="s">
        <v>286</v>
      </c>
      <c r="G40" s="8" t="s">
        <v>115</v>
      </c>
    </row>
    <row r="41" customFormat="false" ht="23.85" hidden="false" customHeight="false" outlineLevel="0" collapsed="false">
      <c r="A41" s="8" t="s">
        <v>287</v>
      </c>
      <c r="B41" s="8" t="s">
        <v>288</v>
      </c>
      <c r="C41" s="8" t="s">
        <v>49</v>
      </c>
      <c r="D41" s="8" t="s">
        <v>289</v>
      </c>
      <c r="E41" s="8" t="s">
        <v>290</v>
      </c>
      <c r="F41" s="8" t="s">
        <v>291</v>
      </c>
      <c r="G41" s="8" t="s">
        <v>292</v>
      </c>
    </row>
    <row r="42" customFormat="false" ht="23.85" hidden="false" customHeight="false" outlineLevel="0" collapsed="false">
      <c r="A42" s="8" t="s">
        <v>293</v>
      </c>
      <c r="B42" s="8" t="s">
        <v>294</v>
      </c>
      <c r="C42" s="8" t="s">
        <v>49</v>
      </c>
      <c r="D42" s="8" t="s">
        <v>295</v>
      </c>
      <c r="E42" s="8" t="s">
        <v>296</v>
      </c>
      <c r="F42" s="8" t="s">
        <v>297</v>
      </c>
      <c r="G42" s="8" t="s">
        <v>121</v>
      </c>
    </row>
    <row r="43" customFormat="false" ht="23.85" hidden="false" customHeight="false" outlineLevel="0" collapsed="false">
      <c r="A43" s="8" t="s">
        <v>298</v>
      </c>
      <c r="B43" s="8" t="s">
        <v>299</v>
      </c>
      <c r="C43" s="8" t="s">
        <v>49</v>
      </c>
      <c r="D43" s="8" t="s">
        <v>300</v>
      </c>
      <c r="E43" s="8" t="s">
        <v>301</v>
      </c>
      <c r="F43" s="8" t="s">
        <v>302</v>
      </c>
      <c r="G43" s="8" t="s">
        <v>121</v>
      </c>
    </row>
    <row r="44" customFormat="false" ht="23.85" hidden="false" customHeight="false" outlineLevel="0" collapsed="false">
      <c r="A44" s="8" t="s">
        <v>303</v>
      </c>
      <c r="B44" s="8" t="s">
        <v>304</v>
      </c>
      <c r="C44" s="8" t="s">
        <v>49</v>
      </c>
      <c r="D44" s="8" t="s">
        <v>305</v>
      </c>
      <c r="E44" s="8" t="s">
        <v>306</v>
      </c>
      <c r="F44" s="8" t="s">
        <v>307</v>
      </c>
      <c r="G44" s="8" t="s">
        <v>203</v>
      </c>
    </row>
    <row r="45" customFormat="false" ht="23.85" hidden="false" customHeight="false" outlineLevel="0" collapsed="false">
      <c r="A45" s="8" t="s">
        <v>308</v>
      </c>
      <c r="B45" s="8" t="s">
        <v>309</v>
      </c>
      <c r="C45" s="8" t="s">
        <v>49</v>
      </c>
      <c r="D45" s="8" t="s">
        <v>310</v>
      </c>
      <c r="E45" s="8" t="s">
        <v>311</v>
      </c>
      <c r="F45" s="8" t="s">
        <v>312</v>
      </c>
      <c r="G45" s="8" t="s">
        <v>313</v>
      </c>
    </row>
    <row r="46" customFormat="false" ht="23.85" hidden="false" customHeight="false" outlineLevel="0" collapsed="false">
      <c r="A46" s="8" t="s">
        <v>314</v>
      </c>
      <c r="B46" s="8" t="s">
        <v>315</v>
      </c>
      <c r="C46" s="8" t="s">
        <v>49</v>
      </c>
      <c r="D46" s="8" t="s">
        <v>316</v>
      </c>
      <c r="E46" s="8" t="s">
        <v>317</v>
      </c>
      <c r="F46" s="8" t="s">
        <v>318</v>
      </c>
      <c r="G46" s="8" t="s">
        <v>103</v>
      </c>
    </row>
    <row r="47" customFormat="false" ht="23.85" hidden="false" customHeight="false" outlineLevel="0" collapsed="false">
      <c r="A47" s="8" t="s">
        <v>319</v>
      </c>
      <c r="B47" s="8" t="s">
        <v>320</v>
      </c>
      <c r="C47" s="8" t="s">
        <v>49</v>
      </c>
      <c r="D47" s="8" t="s">
        <v>321</v>
      </c>
      <c r="E47" s="8" t="s">
        <v>322</v>
      </c>
      <c r="F47" s="8" t="s">
        <v>323</v>
      </c>
      <c r="G47" s="8" t="s">
        <v>324</v>
      </c>
    </row>
    <row r="48" customFormat="false" ht="23.85" hidden="false" customHeight="false" outlineLevel="0" collapsed="false">
      <c r="A48" s="8" t="s">
        <v>325</v>
      </c>
      <c r="B48" s="8" t="s">
        <v>326</v>
      </c>
      <c r="C48" s="8" t="s">
        <v>49</v>
      </c>
      <c r="D48" s="8" t="s">
        <v>327</v>
      </c>
      <c r="E48" s="8" t="s">
        <v>328</v>
      </c>
      <c r="F48" s="8" t="s">
        <v>329</v>
      </c>
      <c r="G48" s="8" t="s">
        <v>91</v>
      </c>
    </row>
    <row r="49" customFormat="false" ht="23.85" hidden="false" customHeight="false" outlineLevel="0" collapsed="false">
      <c r="A49" s="8" t="s">
        <v>330</v>
      </c>
      <c r="B49" s="8" t="s">
        <v>331</v>
      </c>
      <c r="C49" s="8" t="s">
        <v>49</v>
      </c>
      <c r="D49" s="8" t="s">
        <v>332</v>
      </c>
      <c r="E49" s="8" t="s">
        <v>333</v>
      </c>
      <c r="F49" s="8" t="s">
        <v>334</v>
      </c>
      <c r="G49" s="8" t="s">
        <v>221</v>
      </c>
    </row>
    <row r="50" customFormat="false" ht="23.85" hidden="false" customHeight="false" outlineLevel="0" collapsed="false">
      <c r="A50" s="8" t="s">
        <v>335</v>
      </c>
      <c r="B50" s="8" t="s">
        <v>336</v>
      </c>
      <c r="C50" s="8" t="s">
        <v>49</v>
      </c>
      <c r="D50" s="8" t="s">
        <v>337</v>
      </c>
      <c r="E50" s="8" t="s">
        <v>338</v>
      </c>
      <c r="F50" s="8" t="s">
        <v>339</v>
      </c>
      <c r="G50" s="8" t="s">
        <v>340</v>
      </c>
    </row>
    <row r="51" customFormat="false" ht="23.85" hidden="false" customHeight="false" outlineLevel="0" collapsed="false">
      <c r="A51" s="8" t="s">
        <v>341</v>
      </c>
      <c r="B51" s="8" t="s">
        <v>342</v>
      </c>
      <c r="C51" s="8" t="s">
        <v>49</v>
      </c>
      <c r="D51" s="8" t="s">
        <v>343</v>
      </c>
      <c r="E51" s="8" t="s">
        <v>344</v>
      </c>
      <c r="F51" s="8" t="s">
        <v>345</v>
      </c>
      <c r="G51" s="8" t="s">
        <v>103</v>
      </c>
    </row>
    <row r="52" customFormat="false" ht="23.85" hidden="false" customHeight="false" outlineLevel="0" collapsed="false">
      <c r="A52" s="9" t="s">
        <v>346</v>
      </c>
      <c r="B52" s="9" t="s">
        <v>347</v>
      </c>
      <c r="C52" s="9" t="s">
        <v>53</v>
      </c>
      <c r="D52" s="9" t="s">
        <v>348</v>
      </c>
      <c r="E52" s="9" t="s">
        <v>349</v>
      </c>
      <c r="F52" s="9" t="s">
        <v>350</v>
      </c>
      <c r="G52" s="9" t="s">
        <v>351</v>
      </c>
    </row>
    <row r="53" customFormat="false" ht="23.85" hidden="false" customHeight="false" outlineLevel="0" collapsed="false">
      <c r="A53" s="9" t="s">
        <v>352</v>
      </c>
      <c r="B53" s="9" t="s">
        <v>353</v>
      </c>
      <c r="C53" s="9" t="s">
        <v>53</v>
      </c>
      <c r="D53" s="9" t="s">
        <v>354</v>
      </c>
      <c r="E53" s="9" t="s">
        <v>355</v>
      </c>
      <c r="F53" s="9" t="s">
        <v>356</v>
      </c>
      <c r="G53" s="9" t="s">
        <v>85</v>
      </c>
    </row>
    <row r="54" customFormat="false" ht="23.85" hidden="false" customHeight="false" outlineLevel="0" collapsed="false">
      <c r="A54" s="9" t="s">
        <v>357</v>
      </c>
      <c r="B54" s="9" t="s">
        <v>358</v>
      </c>
      <c r="C54" s="9" t="s">
        <v>53</v>
      </c>
      <c r="D54" s="9" t="s">
        <v>359</v>
      </c>
      <c r="E54" s="9" t="s">
        <v>360</v>
      </c>
      <c r="F54" s="9" t="s">
        <v>361</v>
      </c>
      <c r="G54" s="9" t="s">
        <v>362</v>
      </c>
    </row>
    <row r="55" customFormat="false" ht="23.85" hidden="false" customHeight="false" outlineLevel="0" collapsed="false">
      <c r="A55" s="9" t="s">
        <v>363</v>
      </c>
      <c r="B55" s="9" t="s">
        <v>364</v>
      </c>
      <c r="C55" s="9" t="s">
        <v>53</v>
      </c>
      <c r="D55" s="9" t="s">
        <v>365</v>
      </c>
      <c r="E55" s="9" t="s">
        <v>366</v>
      </c>
      <c r="F55" s="9" t="s">
        <v>367</v>
      </c>
      <c r="G55" s="9" t="s">
        <v>203</v>
      </c>
    </row>
    <row r="56" customFormat="false" ht="35.05" hidden="false" customHeight="false" outlineLevel="0" collapsed="false">
      <c r="A56" s="9" t="s">
        <v>368</v>
      </c>
      <c r="B56" s="9" t="s">
        <v>369</v>
      </c>
      <c r="C56" s="9" t="s">
        <v>53</v>
      </c>
      <c r="D56" s="9" t="s">
        <v>370</v>
      </c>
      <c r="E56" s="9" t="s">
        <v>371</v>
      </c>
      <c r="F56" s="9" t="s">
        <v>372</v>
      </c>
      <c r="G56" s="9" t="s">
        <v>373</v>
      </c>
    </row>
    <row r="57" customFormat="false" ht="23.85" hidden="false" customHeight="false" outlineLevel="0" collapsed="false">
      <c r="A57" s="9" t="s">
        <v>374</v>
      </c>
      <c r="B57" s="9" t="s">
        <v>375</v>
      </c>
      <c r="C57" s="9" t="s">
        <v>53</v>
      </c>
      <c r="D57" s="9" t="s">
        <v>376</v>
      </c>
      <c r="E57" s="9" t="s">
        <v>377</v>
      </c>
      <c r="F57" s="9" t="s">
        <v>378</v>
      </c>
      <c r="G57" s="9" t="s">
        <v>103</v>
      </c>
    </row>
    <row r="58" customFormat="false" ht="23.85" hidden="false" customHeight="false" outlineLevel="0" collapsed="false">
      <c r="A58" s="9" t="s">
        <v>379</v>
      </c>
      <c r="B58" s="9" t="s">
        <v>380</v>
      </c>
      <c r="C58" s="9" t="s">
        <v>53</v>
      </c>
      <c r="D58" s="9" t="s">
        <v>381</v>
      </c>
      <c r="E58" s="9" t="s">
        <v>382</v>
      </c>
      <c r="F58" s="9" t="s">
        <v>132</v>
      </c>
      <c r="G58" s="9" t="s">
        <v>174</v>
      </c>
    </row>
    <row r="59" customFormat="false" ht="23.85" hidden="false" customHeight="false" outlineLevel="0" collapsed="false">
      <c r="A59" s="9" t="s">
        <v>383</v>
      </c>
      <c r="B59" s="9" t="s">
        <v>384</v>
      </c>
      <c r="C59" s="9" t="s">
        <v>53</v>
      </c>
      <c r="D59" s="9" t="s">
        <v>385</v>
      </c>
      <c r="E59" s="9" t="s">
        <v>386</v>
      </c>
      <c r="F59" s="9" t="s">
        <v>387</v>
      </c>
      <c r="G59" s="9" t="s">
        <v>388</v>
      </c>
    </row>
    <row r="60" customFormat="false" ht="23.85" hidden="false" customHeight="false" outlineLevel="0" collapsed="false">
      <c r="A60" s="9" t="s">
        <v>389</v>
      </c>
      <c r="B60" s="9" t="s">
        <v>390</v>
      </c>
      <c r="C60" s="9" t="s">
        <v>53</v>
      </c>
      <c r="D60" s="9" t="s">
        <v>391</v>
      </c>
      <c r="E60" s="9" t="s">
        <v>392</v>
      </c>
      <c r="F60" s="9" t="s">
        <v>393</v>
      </c>
      <c r="G60" s="9" t="s">
        <v>221</v>
      </c>
    </row>
    <row r="61" customFormat="false" ht="23.85" hidden="false" customHeight="false" outlineLevel="0" collapsed="false">
      <c r="A61" s="9" t="s">
        <v>394</v>
      </c>
      <c r="B61" s="9" t="s">
        <v>395</v>
      </c>
      <c r="C61" s="9" t="s">
        <v>53</v>
      </c>
      <c r="D61" s="9" t="s">
        <v>396</v>
      </c>
      <c r="E61" s="9" t="s">
        <v>397</v>
      </c>
      <c r="F61" s="9" t="s">
        <v>398</v>
      </c>
      <c r="G61" s="9" t="s">
        <v>399</v>
      </c>
    </row>
    <row r="62" customFormat="false" ht="23.85" hidden="false" customHeight="false" outlineLevel="0" collapsed="false">
      <c r="A62" s="9" t="s">
        <v>400</v>
      </c>
      <c r="B62" s="9" t="s">
        <v>401</v>
      </c>
      <c r="C62" s="9" t="s">
        <v>53</v>
      </c>
      <c r="D62" s="9" t="s">
        <v>402</v>
      </c>
      <c r="E62" s="9" t="s">
        <v>403</v>
      </c>
      <c r="F62" s="9" t="s">
        <v>404</v>
      </c>
      <c r="G62" s="9" t="s">
        <v>244</v>
      </c>
    </row>
    <row r="63" customFormat="false" ht="23.85" hidden="false" customHeight="false" outlineLevel="0" collapsed="false">
      <c r="A63" s="9" t="s">
        <v>405</v>
      </c>
      <c r="B63" s="9" t="s">
        <v>406</v>
      </c>
      <c r="C63" s="9" t="s">
        <v>53</v>
      </c>
      <c r="D63" s="9" t="s">
        <v>407</v>
      </c>
      <c r="E63" s="9" t="s">
        <v>408</v>
      </c>
      <c r="F63" s="9" t="s">
        <v>409</v>
      </c>
      <c r="G63" s="9" t="s">
        <v>410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0"/>
    <col collapsed="false" customWidth="true" hidden="false" outlineLevel="0" max="3" min="3" style="0" width="42"/>
    <col collapsed="false" customWidth="true" hidden="false" outlineLevel="0" max="4" min="4" style="0" width="38"/>
  </cols>
  <sheetData>
    <row r="1" customFormat="false" ht="30" hidden="false" customHeight="true" outlineLevel="0" collapsed="false">
      <c r="A1" s="1" t="s">
        <v>411</v>
      </c>
      <c r="B1" s="1" t="s">
        <v>412</v>
      </c>
      <c r="C1" s="1" t="s">
        <v>413</v>
      </c>
      <c r="D1" s="1" t="s">
        <v>414</v>
      </c>
    </row>
    <row r="2" customFormat="false" ht="15" hidden="false" customHeight="false" outlineLevel="0" collapsed="false">
      <c r="A2" s="4" t="s">
        <v>203</v>
      </c>
      <c r="B2" s="4" t="s">
        <v>415</v>
      </c>
      <c r="C2" s="4" t="s">
        <v>416</v>
      </c>
      <c r="D2" s="4" t="s">
        <v>33</v>
      </c>
    </row>
    <row r="3" customFormat="false" ht="15" hidden="false" customHeight="false" outlineLevel="0" collapsed="false">
      <c r="A3" s="5" t="s">
        <v>203</v>
      </c>
      <c r="B3" s="5" t="s">
        <v>417</v>
      </c>
      <c r="C3" s="5" t="s">
        <v>418</v>
      </c>
      <c r="D3" s="5" t="s">
        <v>37</v>
      </c>
    </row>
    <row r="4" customFormat="false" ht="15" hidden="false" customHeight="false" outlineLevel="0" collapsed="false">
      <c r="A4" s="8" t="s">
        <v>203</v>
      </c>
      <c r="B4" s="8" t="s">
        <v>419</v>
      </c>
      <c r="C4" s="8" t="s">
        <v>420</v>
      </c>
      <c r="D4" s="8" t="s">
        <v>49</v>
      </c>
    </row>
    <row r="5" customFormat="false" ht="15" hidden="false" customHeight="false" outlineLevel="0" collapsed="false">
      <c r="A5" s="5" t="s">
        <v>203</v>
      </c>
      <c r="B5" s="5" t="s">
        <v>421</v>
      </c>
      <c r="C5" s="5" t="s">
        <v>422</v>
      </c>
      <c r="D5" s="5" t="s">
        <v>37</v>
      </c>
    </row>
    <row r="6" customFormat="false" ht="15" hidden="false" customHeight="false" outlineLevel="0" collapsed="false">
      <c r="A6" s="7" t="s">
        <v>203</v>
      </c>
      <c r="B6" s="7" t="s">
        <v>423</v>
      </c>
      <c r="C6" s="7" t="s">
        <v>424</v>
      </c>
      <c r="D6" s="7" t="s">
        <v>45</v>
      </c>
    </row>
    <row r="7" customFormat="false" ht="15" hidden="false" customHeight="false" outlineLevel="0" collapsed="false">
      <c r="A7" s="6" t="s">
        <v>203</v>
      </c>
      <c r="B7" s="6" t="s">
        <v>199</v>
      </c>
      <c r="C7" s="6" t="s">
        <v>425</v>
      </c>
      <c r="D7" s="6" t="s">
        <v>41</v>
      </c>
    </row>
    <row r="8" customFormat="false" ht="15" hidden="false" customHeight="false" outlineLevel="0" collapsed="false">
      <c r="A8" s="7" t="s">
        <v>203</v>
      </c>
      <c r="B8" s="7" t="s">
        <v>426</v>
      </c>
      <c r="C8" s="7" t="s">
        <v>427</v>
      </c>
      <c r="D8" s="7" t="s">
        <v>45</v>
      </c>
    </row>
    <row r="9" customFormat="false" ht="15" hidden="false" customHeight="false" outlineLevel="0" collapsed="false">
      <c r="A9" s="7" t="s">
        <v>203</v>
      </c>
      <c r="B9" s="7" t="s">
        <v>428</v>
      </c>
      <c r="C9" s="7" t="s">
        <v>429</v>
      </c>
      <c r="D9" s="7" t="s">
        <v>45</v>
      </c>
    </row>
    <row r="10" customFormat="false" ht="15" hidden="false" customHeight="false" outlineLevel="0" collapsed="false">
      <c r="A10" s="6" t="s">
        <v>203</v>
      </c>
      <c r="B10" s="6" t="s">
        <v>430</v>
      </c>
      <c r="C10" s="6" t="s">
        <v>431</v>
      </c>
      <c r="D10" s="6" t="s">
        <v>41</v>
      </c>
    </row>
    <row r="11" customFormat="false" ht="15" hidden="false" customHeight="false" outlineLevel="0" collapsed="false">
      <c r="A11" s="8" t="s">
        <v>203</v>
      </c>
      <c r="B11" s="8" t="s">
        <v>432</v>
      </c>
      <c r="C11" s="8" t="s">
        <v>433</v>
      </c>
      <c r="D11" s="8" t="s">
        <v>49</v>
      </c>
    </row>
    <row r="12" customFormat="false" ht="15" hidden="false" customHeight="false" outlineLevel="0" collapsed="false">
      <c r="A12" s="4" t="s">
        <v>203</v>
      </c>
      <c r="B12" s="4" t="s">
        <v>434</v>
      </c>
      <c r="C12" s="4" t="s">
        <v>435</v>
      </c>
      <c r="D12" s="4" t="s">
        <v>33</v>
      </c>
    </row>
    <row r="13" customFormat="false" ht="23.85" hidden="false" customHeight="false" outlineLevel="0" collapsed="false">
      <c r="A13" s="9" t="s">
        <v>203</v>
      </c>
      <c r="B13" s="9" t="s">
        <v>436</v>
      </c>
      <c r="C13" s="9" t="s">
        <v>437</v>
      </c>
      <c r="D13" s="9" t="s">
        <v>53</v>
      </c>
    </row>
    <row r="14" customFormat="false" ht="15" hidden="false" customHeight="false" outlineLevel="0" collapsed="false">
      <c r="A14" s="8" t="s">
        <v>174</v>
      </c>
      <c r="B14" s="8" t="s">
        <v>438</v>
      </c>
      <c r="C14" s="8" t="s">
        <v>439</v>
      </c>
      <c r="D14" s="8" t="s">
        <v>49</v>
      </c>
    </row>
    <row r="15" customFormat="false" ht="15" hidden="false" customHeight="false" outlineLevel="0" collapsed="false">
      <c r="A15" s="4" t="s">
        <v>174</v>
      </c>
      <c r="B15" s="4" t="s">
        <v>440</v>
      </c>
      <c r="C15" s="4" t="s">
        <v>441</v>
      </c>
      <c r="D15" s="4" t="s">
        <v>33</v>
      </c>
    </row>
    <row r="16" customFormat="false" ht="15" hidden="false" customHeight="false" outlineLevel="0" collapsed="false">
      <c r="A16" s="4" t="s">
        <v>174</v>
      </c>
      <c r="B16" s="4" t="s">
        <v>111</v>
      </c>
      <c r="C16" s="4" t="s">
        <v>442</v>
      </c>
      <c r="D16" s="4" t="s">
        <v>33</v>
      </c>
    </row>
    <row r="17" customFormat="false" ht="15" hidden="false" customHeight="false" outlineLevel="0" collapsed="false">
      <c r="A17" s="5" t="s">
        <v>174</v>
      </c>
      <c r="B17" s="5" t="s">
        <v>443</v>
      </c>
      <c r="C17" s="5" t="s">
        <v>444</v>
      </c>
      <c r="D17" s="5" t="s">
        <v>37</v>
      </c>
    </row>
    <row r="18" customFormat="false" ht="15" hidden="false" customHeight="false" outlineLevel="0" collapsed="false">
      <c r="A18" s="5" t="s">
        <v>174</v>
      </c>
      <c r="B18" s="5" t="s">
        <v>445</v>
      </c>
      <c r="C18" s="5" t="s">
        <v>446</v>
      </c>
      <c r="D18" s="5" t="s">
        <v>37</v>
      </c>
    </row>
    <row r="19" customFormat="false" ht="15" hidden="false" customHeight="false" outlineLevel="0" collapsed="false">
      <c r="A19" s="7" t="s">
        <v>174</v>
      </c>
      <c r="B19" s="7" t="s">
        <v>447</v>
      </c>
      <c r="C19" s="7" t="s">
        <v>448</v>
      </c>
      <c r="D19" s="7" t="s">
        <v>45</v>
      </c>
    </row>
    <row r="20" customFormat="false" ht="15" hidden="false" customHeight="false" outlineLevel="0" collapsed="false">
      <c r="A20" s="5" t="s">
        <v>174</v>
      </c>
      <c r="B20" s="5" t="s">
        <v>449</v>
      </c>
      <c r="C20" s="5" t="s">
        <v>176</v>
      </c>
      <c r="D20" s="5" t="s">
        <v>37</v>
      </c>
    </row>
    <row r="21" customFormat="false" ht="15" hidden="false" customHeight="false" outlineLevel="0" collapsed="false">
      <c r="A21" s="6" t="s">
        <v>174</v>
      </c>
      <c r="B21" s="6" t="s">
        <v>450</v>
      </c>
      <c r="C21" s="6" t="s">
        <v>451</v>
      </c>
      <c r="D21" s="6" t="s">
        <v>41</v>
      </c>
    </row>
    <row r="22" customFormat="false" ht="15" hidden="false" customHeight="false" outlineLevel="0" collapsed="false">
      <c r="A22" s="5" t="s">
        <v>174</v>
      </c>
      <c r="B22" s="5" t="s">
        <v>452</v>
      </c>
      <c r="C22" s="5" t="s">
        <v>453</v>
      </c>
      <c r="D22" s="5" t="s">
        <v>37</v>
      </c>
    </row>
    <row r="23" customFormat="false" ht="15" hidden="false" customHeight="false" outlineLevel="0" collapsed="false">
      <c r="A23" s="8" t="s">
        <v>174</v>
      </c>
      <c r="B23" s="8" t="s">
        <v>454</v>
      </c>
      <c r="C23" s="8" t="s">
        <v>455</v>
      </c>
      <c r="D23" s="8" t="s">
        <v>49</v>
      </c>
    </row>
    <row r="24" customFormat="false" ht="15" hidden="false" customHeight="false" outlineLevel="0" collapsed="false">
      <c r="A24" s="5" t="s">
        <v>174</v>
      </c>
      <c r="B24" s="5" t="s">
        <v>456</v>
      </c>
      <c r="C24" s="5" t="s">
        <v>457</v>
      </c>
      <c r="D24" s="5" t="s">
        <v>37</v>
      </c>
    </row>
    <row r="25" customFormat="false" ht="23.85" hidden="false" customHeight="false" outlineLevel="0" collapsed="false">
      <c r="A25" s="9" t="s">
        <v>174</v>
      </c>
      <c r="B25" s="9" t="s">
        <v>458</v>
      </c>
      <c r="C25" s="9" t="s">
        <v>459</v>
      </c>
      <c r="D25" s="9" t="s">
        <v>53</v>
      </c>
    </row>
    <row r="26" customFormat="false" ht="23.85" hidden="false" customHeight="false" outlineLevel="0" collapsed="false">
      <c r="A26" s="9" t="s">
        <v>174</v>
      </c>
      <c r="B26" s="9" t="s">
        <v>460</v>
      </c>
      <c r="C26" s="9" t="s">
        <v>461</v>
      </c>
      <c r="D26" s="9" t="s">
        <v>53</v>
      </c>
    </row>
    <row r="27" customFormat="false" ht="15" hidden="false" customHeight="false" outlineLevel="0" collapsed="false">
      <c r="A27" s="8" t="s">
        <v>121</v>
      </c>
      <c r="B27" s="8" t="s">
        <v>462</v>
      </c>
      <c r="C27" s="8" t="s">
        <v>463</v>
      </c>
      <c r="D27" s="8" t="s">
        <v>49</v>
      </c>
    </row>
    <row r="28" customFormat="false" ht="15" hidden="false" customHeight="false" outlineLevel="0" collapsed="false">
      <c r="A28" s="4" t="s">
        <v>121</v>
      </c>
      <c r="B28" s="4" t="s">
        <v>464</v>
      </c>
      <c r="C28" s="4" t="s">
        <v>465</v>
      </c>
      <c r="D28" s="4" t="s">
        <v>33</v>
      </c>
    </row>
    <row r="29" customFormat="false" ht="15" hidden="false" customHeight="false" outlineLevel="0" collapsed="false">
      <c r="A29" s="5" t="s">
        <v>121</v>
      </c>
      <c r="B29" s="5" t="s">
        <v>466</v>
      </c>
      <c r="C29" s="5" t="s">
        <v>467</v>
      </c>
      <c r="D29" s="5" t="s">
        <v>37</v>
      </c>
    </row>
    <row r="30" customFormat="false" ht="15" hidden="false" customHeight="false" outlineLevel="0" collapsed="false">
      <c r="A30" s="5" t="s">
        <v>121</v>
      </c>
      <c r="B30" s="5" t="s">
        <v>417</v>
      </c>
      <c r="C30" s="5" t="s">
        <v>418</v>
      </c>
      <c r="D30" s="5" t="s">
        <v>37</v>
      </c>
    </row>
    <row r="31" customFormat="false" ht="15" hidden="false" customHeight="false" outlineLevel="0" collapsed="false">
      <c r="A31" s="4" t="s">
        <v>121</v>
      </c>
      <c r="B31" s="4" t="s">
        <v>117</v>
      </c>
      <c r="C31" s="4" t="s">
        <v>468</v>
      </c>
      <c r="D31" s="4" t="s">
        <v>33</v>
      </c>
    </row>
    <row r="32" customFormat="false" ht="15" hidden="false" customHeight="false" outlineLevel="0" collapsed="false">
      <c r="A32" s="7" t="s">
        <v>121</v>
      </c>
      <c r="B32" s="7" t="s">
        <v>469</v>
      </c>
      <c r="C32" s="7" t="s">
        <v>470</v>
      </c>
      <c r="D32" s="7" t="s">
        <v>45</v>
      </c>
    </row>
    <row r="33" customFormat="false" ht="15" hidden="false" customHeight="false" outlineLevel="0" collapsed="false">
      <c r="A33" s="4" t="s">
        <v>121</v>
      </c>
      <c r="B33" s="4" t="s">
        <v>471</v>
      </c>
      <c r="C33" s="4" t="s">
        <v>472</v>
      </c>
      <c r="D33" s="4" t="s">
        <v>33</v>
      </c>
    </row>
    <row r="34" customFormat="false" ht="15" hidden="false" customHeight="false" outlineLevel="0" collapsed="false">
      <c r="A34" s="7" t="s">
        <v>121</v>
      </c>
      <c r="B34" s="7" t="s">
        <v>473</v>
      </c>
      <c r="C34" s="7" t="s">
        <v>474</v>
      </c>
      <c r="D34" s="7" t="s">
        <v>45</v>
      </c>
    </row>
    <row r="35" customFormat="false" ht="15" hidden="false" customHeight="false" outlineLevel="0" collapsed="false">
      <c r="A35" s="6" t="s">
        <v>121</v>
      </c>
      <c r="B35" s="6" t="s">
        <v>475</v>
      </c>
      <c r="C35" s="6" t="s">
        <v>476</v>
      </c>
      <c r="D35" s="6" t="s">
        <v>41</v>
      </c>
    </row>
    <row r="36" customFormat="false" ht="15" hidden="false" customHeight="false" outlineLevel="0" collapsed="false">
      <c r="A36" s="8" t="s">
        <v>121</v>
      </c>
      <c r="B36" s="8" t="s">
        <v>477</v>
      </c>
      <c r="C36" s="8" t="s">
        <v>478</v>
      </c>
      <c r="D36" s="8" t="s">
        <v>49</v>
      </c>
    </row>
    <row r="37" customFormat="false" ht="15" hidden="false" customHeight="false" outlineLevel="0" collapsed="false">
      <c r="A37" s="5" t="s">
        <v>121</v>
      </c>
      <c r="B37" s="5" t="s">
        <v>479</v>
      </c>
      <c r="C37" s="5" t="s">
        <v>176</v>
      </c>
      <c r="D37" s="5" t="s">
        <v>37</v>
      </c>
    </row>
    <row r="38" customFormat="false" ht="23.85" hidden="false" customHeight="false" outlineLevel="0" collapsed="false">
      <c r="A38" s="9" t="s">
        <v>121</v>
      </c>
      <c r="B38" s="9" t="s">
        <v>480</v>
      </c>
      <c r="C38" s="9" t="s">
        <v>481</v>
      </c>
      <c r="D38" s="9" t="s">
        <v>53</v>
      </c>
    </row>
    <row r="39" customFormat="false" ht="15" hidden="false" customHeight="false" outlineLevel="0" collapsed="false">
      <c r="A39" s="8" t="s">
        <v>91</v>
      </c>
      <c r="B39" s="8" t="s">
        <v>482</v>
      </c>
      <c r="C39" s="8" t="s">
        <v>483</v>
      </c>
      <c r="D39" s="8" t="s">
        <v>49</v>
      </c>
    </row>
    <row r="40" customFormat="false" ht="15" hidden="false" customHeight="false" outlineLevel="0" collapsed="false">
      <c r="A40" s="8" t="s">
        <v>91</v>
      </c>
      <c r="B40" s="8" t="s">
        <v>484</v>
      </c>
      <c r="C40" s="8" t="s">
        <v>485</v>
      </c>
      <c r="D40" s="8" t="s">
        <v>49</v>
      </c>
    </row>
    <row r="41" customFormat="false" ht="15" hidden="false" customHeight="false" outlineLevel="0" collapsed="false">
      <c r="A41" s="8" t="s">
        <v>91</v>
      </c>
      <c r="B41" s="8" t="s">
        <v>486</v>
      </c>
      <c r="C41" s="8" t="s">
        <v>487</v>
      </c>
      <c r="D41" s="8" t="s">
        <v>49</v>
      </c>
    </row>
    <row r="42" customFormat="false" ht="15" hidden="false" customHeight="false" outlineLevel="0" collapsed="false">
      <c r="A42" s="4" t="s">
        <v>91</v>
      </c>
      <c r="B42" s="4" t="s">
        <v>87</v>
      </c>
      <c r="C42" s="4" t="s">
        <v>488</v>
      </c>
      <c r="D42" s="4" t="s">
        <v>33</v>
      </c>
    </row>
    <row r="43" customFormat="false" ht="15" hidden="false" customHeight="false" outlineLevel="0" collapsed="false">
      <c r="A43" s="5" t="s">
        <v>91</v>
      </c>
      <c r="B43" s="5" t="s">
        <v>489</v>
      </c>
      <c r="C43" s="5" t="s">
        <v>490</v>
      </c>
      <c r="D43" s="5" t="s">
        <v>37</v>
      </c>
    </row>
    <row r="44" customFormat="false" ht="15" hidden="false" customHeight="false" outlineLevel="0" collapsed="false">
      <c r="A44" s="5" t="s">
        <v>91</v>
      </c>
      <c r="B44" s="5" t="s">
        <v>491</v>
      </c>
      <c r="C44" s="5" t="s">
        <v>492</v>
      </c>
      <c r="D44" s="5" t="s">
        <v>37</v>
      </c>
    </row>
    <row r="45" customFormat="false" ht="15" hidden="false" customHeight="false" outlineLevel="0" collapsed="false">
      <c r="A45" s="6" t="s">
        <v>91</v>
      </c>
      <c r="B45" s="6" t="s">
        <v>493</v>
      </c>
      <c r="C45" s="6" t="s">
        <v>494</v>
      </c>
      <c r="D45" s="6" t="s">
        <v>41</v>
      </c>
    </row>
    <row r="46" customFormat="false" ht="15" hidden="false" customHeight="false" outlineLevel="0" collapsed="false">
      <c r="A46" s="8" t="s">
        <v>91</v>
      </c>
      <c r="B46" s="8" t="s">
        <v>495</v>
      </c>
      <c r="C46" s="8" t="s">
        <v>496</v>
      </c>
      <c r="D46" s="8" t="s">
        <v>49</v>
      </c>
    </row>
    <row r="47" customFormat="false" ht="15" hidden="false" customHeight="false" outlineLevel="0" collapsed="false">
      <c r="A47" s="4" t="s">
        <v>91</v>
      </c>
      <c r="B47" s="4" t="s">
        <v>81</v>
      </c>
      <c r="C47" s="4" t="s">
        <v>497</v>
      </c>
      <c r="D47" s="4" t="s">
        <v>33</v>
      </c>
    </row>
    <row r="48" customFormat="false" ht="15" hidden="false" customHeight="false" outlineLevel="0" collapsed="false">
      <c r="A48" s="6" t="s">
        <v>91</v>
      </c>
      <c r="B48" s="6" t="s">
        <v>498</v>
      </c>
      <c r="C48" s="6" t="s">
        <v>499</v>
      </c>
      <c r="D48" s="6" t="s">
        <v>41</v>
      </c>
    </row>
    <row r="49" customFormat="false" ht="15" hidden="false" customHeight="false" outlineLevel="0" collapsed="false">
      <c r="A49" s="8" t="s">
        <v>91</v>
      </c>
      <c r="B49" s="8" t="s">
        <v>500</v>
      </c>
      <c r="C49" s="8" t="s">
        <v>501</v>
      </c>
      <c r="D49" s="8" t="s">
        <v>49</v>
      </c>
    </row>
    <row r="50" customFormat="false" ht="23.85" hidden="false" customHeight="false" outlineLevel="0" collapsed="false">
      <c r="A50" s="9" t="s">
        <v>91</v>
      </c>
      <c r="B50" s="9" t="s">
        <v>502</v>
      </c>
      <c r="C50" s="9" t="s">
        <v>503</v>
      </c>
      <c r="D50" s="9" t="s">
        <v>53</v>
      </c>
    </row>
    <row r="51" customFormat="false" ht="23.85" hidden="false" customHeight="false" outlineLevel="0" collapsed="false">
      <c r="A51" s="9" t="s">
        <v>91</v>
      </c>
      <c r="B51" s="9" t="s">
        <v>504</v>
      </c>
      <c r="C51" s="9" t="s">
        <v>505</v>
      </c>
      <c r="D51" s="9" t="s">
        <v>53</v>
      </c>
    </row>
    <row r="52" customFormat="false" ht="15" hidden="false" customHeight="false" outlineLevel="0" collapsed="false">
      <c r="A52" s="4" t="s">
        <v>109</v>
      </c>
      <c r="B52" s="4" t="s">
        <v>506</v>
      </c>
      <c r="C52" s="4" t="s">
        <v>507</v>
      </c>
      <c r="D52" s="4" t="s">
        <v>33</v>
      </c>
    </row>
    <row r="53" customFormat="false" ht="15" hidden="false" customHeight="false" outlineLevel="0" collapsed="false">
      <c r="A53" s="4" t="s">
        <v>109</v>
      </c>
      <c r="B53" s="4" t="s">
        <v>508</v>
      </c>
      <c r="C53" s="4" t="s">
        <v>509</v>
      </c>
      <c r="D53" s="4" t="s">
        <v>33</v>
      </c>
    </row>
    <row r="54" customFormat="false" ht="15" hidden="false" customHeight="false" outlineLevel="0" collapsed="false">
      <c r="A54" s="4" t="s">
        <v>109</v>
      </c>
      <c r="B54" s="4" t="s">
        <v>510</v>
      </c>
      <c r="C54" s="4" t="s">
        <v>511</v>
      </c>
      <c r="D54" s="4" t="s">
        <v>33</v>
      </c>
    </row>
    <row r="55" customFormat="false" ht="23.85" hidden="false" customHeight="false" outlineLevel="0" collapsed="false">
      <c r="A55" s="9" t="s">
        <v>109</v>
      </c>
      <c r="B55" s="9" t="s">
        <v>512</v>
      </c>
      <c r="C55" s="9" t="s">
        <v>513</v>
      </c>
      <c r="D55" s="9" t="s">
        <v>53</v>
      </c>
    </row>
    <row r="56" customFormat="false" ht="15" hidden="false" customHeight="false" outlineLevel="0" collapsed="false">
      <c r="A56" s="7" t="s">
        <v>109</v>
      </c>
      <c r="B56" s="7" t="s">
        <v>514</v>
      </c>
      <c r="C56" s="7" t="s">
        <v>515</v>
      </c>
      <c r="D56" s="7" t="s">
        <v>45</v>
      </c>
    </row>
    <row r="57" customFormat="false" ht="15" hidden="false" customHeight="false" outlineLevel="0" collapsed="false">
      <c r="A57" s="4" t="s">
        <v>109</v>
      </c>
      <c r="B57" s="4" t="s">
        <v>516</v>
      </c>
      <c r="C57" s="4" t="s">
        <v>517</v>
      </c>
      <c r="D57" s="4" t="s">
        <v>33</v>
      </c>
    </row>
    <row r="58" customFormat="false" ht="15" hidden="false" customHeight="false" outlineLevel="0" collapsed="false">
      <c r="A58" s="6" t="s">
        <v>109</v>
      </c>
      <c r="B58" s="6" t="s">
        <v>518</v>
      </c>
      <c r="C58" s="6" t="s">
        <v>519</v>
      </c>
      <c r="D58" s="6" t="s">
        <v>41</v>
      </c>
    </row>
    <row r="59" customFormat="false" ht="15" hidden="false" customHeight="false" outlineLevel="0" collapsed="false">
      <c r="A59" s="7" t="s">
        <v>109</v>
      </c>
      <c r="B59" s="7" t="s">
        <v>520</v>
      </c>
      <c r="C59" s="7" t="s">
        <v>521</v>
      </c>
      <c r="D59" s="7" t="s">
        <v>45</v>
      </c>
    </row>
    <row r="60" customFormat="false" ht="15" hidden="false" customHeight="false" outlineLevel="0" collapsed="false">
      <c r="A60" s="6" t="s">
        <v>109</v>
      </c>
      <c r="B60" s="6" t="s">
        <v>522</v>
      </c>
      <c r="C60" s="6" t="s">
        <v>523</v>
      </c>
      <c r="D60" s="6" t="s">
        <v>41</v>
      </c>
    </row>
    <row r="61" customFormat="false" ht="15" hidden="false" customHeight="false" outlineLevel="0" collapsed="false">
      <c r="A61" s="8" t="s">
        <v>109</v>
      </c>
      <c r="B61" s="8" t="s">
        <v>524</v>
      </c>
      <c r="C61" s="8" t="s">
        <v>525</v>
      </c>
      <c r="D61" s="8" t="s">
        <v>49</v>
      </c>
    </row>
    <row r="62" customFormat="false" ht="15" hidden="false" customHeight="false" outlineLevel="0" collapsed="false">
      <c r="A62" s="8" t="s">
        <v>109</v>
      </c>
      <c r="B62" s="8" t="s">
        <v>526</v>
      </c>
      <c r="C62" s="8" t="s">
        <v>527</v>
      </c>
      <c r="D62" s="8" t="s">
        <v>49</v>
      </c>
    </row>
    <row r="63" customFormat="false" ht="23.85" hidden="false" customHeight="false" outlineLevel="0" collapsed="false">
      <c r="A63" s="9" t="s">
        <v>109</v>
      </c>
      <c r="B63" s="9" t="s">
        <v>528</v>
      </c>
      <c r="C63" s="9" t="s">
        <v>529</v>
      </c>
      <c r="D63" s="9" t="s">
        <v>53</v>
      </c>
    </row>
    <row r="64" customFormat="false" ht="15" hidden="false" customHeight="false" outlineLevel="0" collapsed="false">
      <c r="A64" s="8" t="s">
        <v>109</v>
      </c>
      <c r="B64" s="8" t="s">
        <v>530</v>
      </c>
      <c r="C64" s="8" t="s">
        <v>531</v>
      </c>
      <c r="D64" s="8" t="s">
        <v>49</v>
      </c>
    </row>
    <row r="65" customFormat="false" ht="15" hidden="false" customHeight="false" outlineLevel="0" collapsed="false">
      <c r="A65" s="5" t="s">
        <v>156</v>
      </c>
      <c r="B65" s="5" t="s">
        <v>532</v>
      </c>
      <c r="C65" s="5" t="s">
        <v>533</v>
      </c>
      <c r="D65" s="5" t="s">
        <v>37</v>
      </c>
    </row>
    <row r="66" customFormat="false" ht="15" hidden="false" customHeight="false" outlineLevel="0" collapsed="false">
      <c r="A66" s="4" t="s">
        <v>156</v>
      </c>
      <c r="B66" s="4" t="s">
        <v>69</v>
      </c>
      <c r="C66" s="4" t="s">
        <v>534</v>
      </c>
      <c r="D66" s="4" t="s">
        <v>33</v>
      </c>
    </row>
    <row r="67" customFormat="false" ht="15" hidden="false" customHeight="false" outlineLevel="0" collapsed="false">
      <c r="A67" s="5" t="s">
        <v>156</v>
      </c>
      <c r="B67" s="5" t="s">
        <v>535</v>
      </c>
      <c r="C67" s="5" t="s">
        <v>536</v>
      </c>
      <c r="D67" s="5" t="s">
        <v>37</v>
      </c>
    </row>
    <row r="68" customFormat="false" ht="15" hidden="false" customHeight="false" outlineLevel="0" collapsed="false">
      <c r="A68" s="5" t="s">
        <v>156</v>
      </c>
      <c r="B68" s="5" t="s">
        <v>537</v>
      </c>
      <c r="C68" s="5" t="s">
        <v>538</v>
      </c>
      <c r="D68" s="5" t="s">
        <v>37</v>
      </c>
    </row>
    <row r="69" customFormat="false" ht="15" hidden="false" customHeight="false" outlineLevel="0" collapsed="false">
      <c r="A69" s="7" t="s">
        <v>156</v>
      </c>
      <c r="B69" s="7" t="s">
        <v>539</v>
      </c>
      <c r="C69" s="7" t="s">
        <v>540</v>
      </c>
      <c r="D69" s="7" t="s">
        <v>45</v>
      </c>
    </row>
    <row r="70" customFormat="false" ht="15" hidden="false" customHeight="false" outlineLevel="0" collapsed="false">
      <c r="A70" s="7" t="s">
        <v>156</v>
      </c>
      <c r="B70" s="7" t="s">
        <v>541</v>
      </c>
      <c r="C70" s="7" t="s">
        <v>542</v>
      </c>
      <c r="D70" s="7" t="s">
        <v>45</v>
      </c>
    </row>
    <row r="71" customFormat="false" ht="15" hidden="false" customHeight="false" outlineLevel="0" collapsed="false">
      <c r="A71" s="6" t="s">
        <v>156</v>
      </c>
      <c r="B71" s="6" t="s">
        <v>543</v>
      </c>
      <c r="C71" s="6" t="s">
        <v>476</v>
      </c>
      <c r="D71" s="6" t="s">
        <v>41</v>
      </c>
    </row>
    <row r="72" customFormat="false" ht="15" hidden="false" customHeight="false" outlineLevel="0" collapsed="false">
      <c r="A72" s="8" t="s">
        <v>156</v>
      </c>
      <c r="B72" s="8" t="s">
        <v>544</v>
      </c>
      <c r="C72" s="8" t="s">
        <v>545</v>
      </c>
      <c r="D72" s="8" t="s">
        <v>49</v>
      </c>
    </row>
    <row r="73" customFormat="false" ht="15" hidden="false" customHeight="false" outlineLevel="0" collapsed="false">
      <c r="A73" s="8" t="s">
        <v>156</v>
      </c>
      <c r="B73" s="8" t="s">
        <v>546</v>
      </c>
      <c r="C73" s="8" t="s">
        <v>547</v>
      </c>
      <c r="D73" s="8" t="s">
        <v>49</v>
      </c>
    </row>
    <row r="74" customFormat="false" ht="15" hidden="false" customHeight="false" outlineLevel="0" collapsed="false">
      <c r="A74" s="5" t="s">
        <v>156</v>
      </c>
      <c r="B74" s="5" t="s">
        <v>548</v>
      </c>
      <c r="C74" s="5" t="s">
        <v>549</v>
      </c>
      <c r="D74" s="5" t="s">
        <v>37</v>
      </c>
    </row>
    <row r="75" customFormat="false" ht="23.85" hidden="false" customHeight="false" outlineLevel="0" collapsed="false">
      <c r="A75" s="9" t="s">
        <v>156</v>
      </c>
      <c r="B75" s="9" t="s">
        <v>550</v>
      </c>
      <c r="C75" s="9" t="s">
        <v>551</v>
      </c>
      <c r="D75" s="9" t="s">
        <v>53</v>
      </c>
    </row>
    <row r="76" customFormat="false" ht="23.85" hidden="false" customHeight="false" outlineLevel="0" collapsed="false">
      <c r="A76" s="9" t="s">
        <v>156</v>
      </c>
      <c r="B76" s="9" t="s">
        <v>552</v>
      </c>
      <c r="C76" s="9" t="s">
        <v>553</v>
      </c>
      <c r="D76" s="9" t="s">
        <v>53</v>
      </c>
    </row>
    <row r="77" customFormat="false" ht="15" hidden="false" customHeight="false" outlineLevel="0" collapsed="false">
      <c r="A77" s="5" t="s">
        <v>221</v>
      </c>
      <c r="B77" s="5" t="s">
        <v>554</v>
      </c>
      <c r="C77" s="5" t="s">
        <v>555</v>
      </c>
      <c r="D77" s="5" t="s">
        <v>37</v>
      </c>
    </row>
    <row r="78" customFormat="false" ht="15" hidden="false" customHeight="false" outlineLevel="0" collapsed="false">
      <c r="A78" s="5" t="s">
        <v>221</v>
      </c>
      <c r="B78" s="5" t="s">
        <v>556</v>
      </c>
      <c r="C78" s="5" t="s">
        <v>557</v>
      </c>
      <c r="D78" s="5" t="s">
        <v>37</v>
      </c>
    </row>
    <row r="79" customFormat="false" ht="15" hidden="false" customHeight="false" outlineLevel="0" collapsed="false">
      <c r="A79" s="4" t="s">
        <v>221</v>
      </c>
      <c r="B79" s="4" t="s">
        <v>558</v>
      </c>
      <c r="C79" s="4" t="s">
        <v>559</v>
      </c>
      <c r="D79" s="4" t="s">
        <v>33</v>
      </c>
    </row>
    <row r="80" customFormat="false" ht="15" hidden="false" customHeight="false" outlineLevel="0" collapsed="false">
      <c r="A80" s="5" t="s">
        <v>221</v>
      </c>
      <c r="B80" s="5" t="s">
        <v>560</v>
      </c>
      <c r="C80" s="5" t="s">
        <v>561</v>
      </c>
      <c r="D80" s="5" t="s">
        <v>37</v>
      </c>
    </row>
    <row r="81" customFormat="false" ht="15" hidden="false" customHeight="false" outlineLevel="0" collapsed="false">
      <c r="A81" s="6" t="s">
        <v>221</v>
      </c>
      <c r="B81" s="6" t="s">
        <v>562</v>
      </c>
      <c r="C81" s="6" t="s">
        <v>563</v>
      </c>
      <c r="D81" s="6" t="s">
        <v>41</v>
      </c>
    </row>
    <row r="82" customFormat="false" ht="15" hidden="false" customHeight="false" outlineLevel="0" collapsed="false">
      <c r="A82" s="6" t="s">
        <v>221</v>
      </c>
      <c r="B82" s="6" t="s">
        <v>217</v>
      </c>
      <c r="C82" s="6" t="s">
        <v>564</v>
      </c>
      <c r="D82" s="6" t="s">
        <v>41</v>
      </c>
    </row>
    <row r="83" customFormat="false" ht="15" hidden="false" customHeight="false" outlineLevel="0" collapsed="false">
      <c r="A83" s="8" t="s">
        <v>221</v>
      </c>
      <c r="B83" s="8" t="s">
        <v>565</v>
      </c>
      <c r="C83" s="8" t="s">
        <v>566</v>
      </c>
      <c r="D83" s="8" t="s">
        <v>49</v>
      </c>
    </row>
    <row r="84" customFormat="false" ht="15" hidden="false" customHeight="false" outlineLevel="0" collapsed="false">
      <c r="A84" s="8" t="s">
        <v>221</v>
      </c>
      <c r="B84" s="8" t="s">
        <v>567</v>
      </c>
      <c r="C84" s="8" t="s">
        <v>568</v>
      </c>
      <c r="D84" s="8" t="s">
        <v>49</v>
      </c>
    </row>
    <row r="85" customFormat="false" ht="15" hidden="false" customHeight="false" outlineLevel="0" collapsed="false">
      <c r="A85" s="8" t="s">
        <v>221</v>
      </c>
      <c r="B85" s="8" t="s">
        <v>320</v>
      </c>
      <c r="C85" s="8" t="s">
        <v>569</v>
      </c>
      <c r="D85" s="8" t="s">
        <v>49</v>
      </c>
    </row>
    <row r="86" customFormat="false" ht="15" hidden="false" customHeight="false" outlineLevel="0" collapsed="false">
      <c r="A86" s="4" t="s">
        <v>221</v>
      </c>
      <c r="B86" s="4" t="s">
        <v>570</v>
      </c>
      <c r="C86" s="4" t="s">
        <v>571</v>
      </c>
      <c r="D86" s="4" t="s">
        <v>33</v>
      </c>
    </row>
    <row r="87" customFormat="false" ht="23.85" hidden="false" customHeight="false" outlineLevel="0" collapsed="false">
      <c r="A87" s="9" t="s">
        <v>221</v>
      </c>
      <c r="B87" s="9" t="s">
        <v>572</v>
      </c>
      <c r="C87" s="9" t="s">
        <v>573</v>
      </c>
      <c r="D87" s="9" t="s">
        <v>53</v>
      </c>
    </row>
    <row r="88" customFormat="false" ht="23.85" hidden="false" customHeight="false" outlineLevel="0" collapsed="false">
      <c r="A88" s="9" t="s">
        <v>221</v>
      </c>
      <c r="B88" s="9" t="s">
        <v>574</v>
      </c>
      <c r="C88" s="9" t="s">
        <v>575</v>
      </c>
      <c r="D88" s="9" t="s">
        <v>53</v>
      </c>
    </row>
    <row r="89" customFormat="false" ht="15" hidden="false" customHeight="false" outlineLevel="0" collapsed="false">
      <c r="A89" s="4" t="s">
        <v>103</v>
      </c>
      <c r="B89" s="4" t="s">
        <v>576</v>
      </c>
      <c r="C89" s="4" t="s">
        <v>577</v>
      </c>
      <c r="D89" s="4" t="s">
        <v>33</v>
      </c>
    </row>
    <row r="90" customFormat="false" ht="15" hidden="false" customHeight="false" outlineLevel="0" collapsed="false">
      <c r="A90" s="8" t="s">
        <v>103</v>
      </c>
      <c r="B90" s="8" t="s">
        <v>578</v>
      </c>
      <c r="C90" s="8" t="s">
        <v>579</v>
      </c>
      <c r="D90" s="8" t="s">
        <v>49</v>
      </c>
    </row>
    <row r="91" customFormat="false" ht="15" hidden="false" customHeight="false" outlineLevel="0" collapsed="false">
      <c r="A91" s="6" t="s">
        <v>103</v>
      </c>
      <c r="B91" s="6" t="s">
        <v>580</v>
      </c>
      <c r="C91" s="6" t="s">
        <v>581</v>
      </c>
      <c r="D91" s="6" t="s">
        <v>41</v>
      </c>
    </row>
    <row r="92" customFormat="false" ht="15" hidden="false" customHeight="false" outlineLevel="0" collapsed="false">
      <c r="A92" s="5" t="s">
        <v>103</v>
      </c>
      <c r="B92" s="5" t="s">
        <v>582</v>
      </c>
      <c r="C92" s="5" t="s">
        <v>583</v>
      </c>
      <c r="D92" s="5" t="s">
        <v>37</v>
      </c>
    </row>
    <row r="93" customFormat="false" ht="15" hidden="false" customHeight="false" outlineLevel="0" collapsed="false">
      <c r="A93" s="5" t="s">
        <v>103</v>
      </c>
      <c r="B93" s="5" t="s">
        <v>584</v>
      </c>
      <c r="C93" s="5" t="s">
        <v>418</v>
      </c>
      <c r="D93" s="5" t="s">
        <v>37</v>
      </c>
    </row>
    <row r="94" customFormat="false" ht="15" hidden="false" customHeight="false" outlineLevel="0" collapsed="false">
      <c r="A94" s="8" t="s">
        <v>103</v>
      </c>
      <c r="B94" s="8" t="s">
        <v>342</v>
      </c>
      <c r="C94" s="8" t="s">
        <v>585</v>
      </c>
      <c r="D94" s="8" t="s">
        <v>49</v>
      </c>
    </row>
    <row r="95" customFormat="false" ht="15" hidden="false" customHeight="false" outlineLevel="0" collapsed="false">
      <c r="A95" s="6" t="s">
        <v>103</v>
      </c>
      <c r="B95" s="6" t="s">
        <v>586</v>
      </c>
      <c r="C95" s="6" t="s">
        <v>587</v>
      </c>
      <c r="D95" s="6" t="s">
        <v>41</v>
      </c>
    </row>
    <row r="96" customFormat="false" ht="15" hidden="false" customHeight="false" outlineLevel="0" collapsed="false">
      <c r="A96" s="6" t="s">
        <v>103</v>
      </c>
      <c r="B96" s="6" t="s">
        <v>588</v>
      </c>
      <c r="C96" s="6" t="s">
        <v>589</v>
      </c>
      <c r="D96" s="6" t="s">
        <v>41</v>
      </c>
    </row>
    <row r="97" customFormat="false" ht="15" hidden="false" customHeight="false" outlineLevel="0" collapsed="false">
      <c r="A97" s="8" t="s">
        <v>103</v>
      </c>
      <c r="B97" s="8" t="s">
        <v>590</v>
      </c>
      <c r="C97" s="8" t="s">
        <v>591</v>
      </c>
      <c r="D97" s="8" t="s">
        <v>49</v>
      </c>
    </row>
    <row r="98" customFormat="false" ht="15" hidden="false" customHeight="false" outlineLevel="0" collapsed="false">
      <c r="A98" s="6" t="s">
        <v>103</v>
      </c>
      <c r="B98" s="6" t="s">
        <v>592</v>
      </c>
      <c r="C98" s="6" t="s">
        <v>593</v>
      </c>
      <c r="D98" s="6" t="s">
        <v>41</v>
      </c>
    </row>
    <row r="99" customFormat="false" ht="15" hidden="false" customHeight="false" outlineLevel="0" collapsed="false">
      <c r="A99" s="4" t="s">
        <v>103</v>
      </c>
      <c r="B99" s="4" t="s">
        <v>99</v>
      </c>
      <c r="C99" s="4" t="s">
        <v>594</v>
      </c>
      <c r="D99" s="4" t="s">
        <v>33</v>
      </c>
    </row>
    <row r="100" customFormat="false" ht="23.85" hidden="false" customHeight="false" outlineLevel="0" collapsed="false">
      <c r="A100" s="9" t="s">
        <v>103</v>
      </c>
      <c r="B100" s="9" t="s">
        <v>595</v>
      </c>
      <c r="C100" s="9" t="s">
        <v>596</v>
      </c>
      <c r="D100" s="9" t="s">
        <v>53</v>
      </c>
    </row>
    <row r="101" customFormat="false" ht="23.85" hidden="false" customHeight="false" outlineLevel="0" collapsed="false">
      <c r="A101" s="9" t="s">
        <v>103</v>
      </c>
      <c r="B101" s="9" t="s">
        <v>597</v>
      </c>
      <c r="C101" s="9" t="s">
        <v>598</v>
      </c>
      <c r="D101" s="9"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32"/>
  </cols>
  <sheetData>
    <row r="1" customFormat="false" ht="30" hidden="false" customHeight="true" outlineLevel="0" collapsed="false">
      <c r="A1" s="1" t="s">
        <v>58</v>
      </c>
      <c r="B1" s="1" t="s">
        <v>599</v>
      </c>
    </row>
    <row r="2" customFormat="false" ht="15" hidden="false" customHeight="false" outlineLevel="0" collapsed="false">
      <c r="A2" s="10" t="s">
        <v>33</v>
      </c>
      <c r="B2" s="11" t="n">
        <f aca="false">COUNTIF('Theme Mapping'!D:D,A2)</f>
        <v>18</v>
      </c>
    </row>
    <row r="3" customFormat="false" ht="15" hidden="false" customHeight="false" outlineLevel="0" collapsed="false">
      <c r="A3" s="12" t="s">
        <v>37</v>
      </c>
      <c r="B3" s="13" t="n">
        <f aca="false">COUNTIF('Theme Mapping'!D:D,A3)</f>
        <v>21</v>
      </c>
    </row>
    <row r="4" customFormat="false" ht="15" hidden="false" customHeight="false" outlineLevel="0" collapsed="false">
      <c r="A4" s="14" t="s">
        <v>41</v>
      </c>
      <c r="B4" s="15" t="n">
        <f aca="false">COUNTIF('Theme Mapping'!D:D,A4)</f>
        <v>15</v>
      </c>
    </row>
    <row r="5" customFormat="false" ht="15" hidden="false" customHeight="false" outlineLevel="0" collapsed="false">
      <c r="A5" s="16" t="s">
        <v>45</v>
      </c>
      <c r="B5" s="17" t="n">
        <f aca="false">COUNTIF('Theme Mapping'!D:D,A5)</f>
        <v>10</v>
      </c>
    </row>
    <row r="6" customFormat="false" ht="15" hidden="false" customHeight="false" outlineLevel="0" collapsed="false">
      <c r="A6" s="18" t="s">
        <v>49</v>
      </c>
      <c r="B6" s="19" t="n">
        <f aca="false">COUNTIF('Theme Mapping'!D:D,A6)</f>
        <v>22</v>
      </c>
    </row>
    <row r="7" customFormat="false" ht="15" hidden="false" customHeight="false" outlineLevel="0" collapsed="false">
      <c r="A7" s="20" t="s">
        <v>53</v>
      </c>
      <c r="B7" s="21" t="n">
        <f aca="false">COUNTIF('Theme Mapping'!D:D,A7)</f>
        <v>14</v>
      </c>
    </row>
    <row r="8" customFormat="false" ht="15" hidden="false" customHeight="false" outlineLevel="0" collapsed="false">
      <c r="A8" s="22" t="s">
        <v>600</v>
      </c>
      <c r="B8" s="23" t="n">
        <f aca="false">SUM(B2:B7)</f>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2026-05-08T21:13:28Z</dcterms:created>
  <dc:creator>openpyxl</dc:creator>
  <dc:description/>
  <dc:language>en-US</dc:language>
  <cp:lastModifiedBy/>
  <dcterms:modified xsi:type="dcterms:W3CDTF">2026-05-08T21:13:28Z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